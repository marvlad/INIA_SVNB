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125" codeName="{E5D1E7B1-6628-F0F0-D09B-76B25B5F3CD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ascenci/Downloads/"/>
    </mc:Choice>
  </mc:AlternateContent>
  <xr:revisionPtr revIDLastSave="0" documentId="13_ncr:1_{EB2F6411-3333-AC4C-B7FB-A83E73B2A7E5}" xr6:coauthVersionLast="47" xr6:coauthVersionMax="47" xr10:uidLastSave="{00000000-0000-0000-0000-000000000000}"/>
  <bookViews>
    <workbookView xWindow="0" yWindow="660" windowWidth="29400" windowHeight="18460" xr2:uid="{00000000-000D-0000-FFFF-FFFF00000000}"/>
  </bookViews>
  <sheets>
    <sheet name="Datos" sheetId="55" r:id="rId1"/>
    <sheet name="P_DIS" sheetId="51" r:id="rId2"/>
    <sheet name="UEstandar-Uexp" sheetId="58" r:id="rId3"/>
    <sheet name="Resultados" sheetId="59" r:id="rId4"/>
  </sheets>
  <definedNames>
    <definedName name="AREA_IMPRESION" localSheetId="0">#REF!</definedName>
    <definedName name="AREA_IMPRESION" localSheetId="2">#REF!</definedName>
    <definedName name="AREA_IMPRESION">#REF!</definedName>
    <definedName name="BarLength">#REF!</definedName>
    <definedName name="BQ" localSheetId="0">#REF!</definedName>
    <definedName name="BQ" localSheetId="2">#REF!</definedName>
    <definedName name="BQ">#REF!</definedName>
    <definedName name="ChartMax">#REF!</definedName>
    <definedName name="ChartMin">#REF!</definedName>
    <definedName name="DataCount">#REF!</definedName>
    <definedName name="DatosX">OFFSET('UEstandar-Uexp'!$Q$12, 0, 0, COUNTA('UEstandar-Uexp'!$Q$12:$Q$14), 1)</definedName>
    <definedName name="DatosXincert">OFFSET('UEstandar-Uexp'!$Q$38, 0, 0, COUNTA('UEstandar-Uexp'!$Q$38:$Q$40), 1)</definedName>
    <definedName name="dcdcd">#REF!</definedName>
    <definedName name="e">#REF!</definedName>
    <definedName name="exactitud12" localSheetId="0">#REF!</definedName>
    <definedName name="exactitud12" localSheetId="2">#REF!</definedName>
    <definedName name="exactitud12">#REF!</definedName>
    <definedName name="HIDFSDF" localSheetId="0">#REF!</definedName>
    <definedName name="HIDFSDF" localSheetId="2">#REF!</definedName>
    <definedName name="HIDFSDF">#REF!</definedName>
    <definedName name="L.I.1" localSheetId="0">#REF!</definedName>
    <definedName name="L.I.1" localSheetId="2">#REF!</definedName>
    <definedName name="L.I.1">#REF!</definedName>
    <definedName name="L.I.2" localSheetId="0">#REF!</definedName>
    <definedName name="L.I.2" localSheetId="2">#REF!</definedName>
    <definedName name="L.I.2">#REF!</definedName>
    <definedName name="L.S.1" localSheetId="0">#REF!</definedName>
    <definedName name="L.S.1" localSheetId="2">#REF!</definedName>
    <definedName name="L.S.1">#REF!</definedName>
    <definedName name="L.S.2" localSheetId="0">#REF!</definedName>
    <definedName name="L.S.2" localSheetId="2">#REF!</definedName>
    <definedName name="L.S.2">#REF!</definedName>
    <definedName name="_xlnm.Print_Area" localSheetId="0">Datos!$A$1:$R$97</definedName>
    <definedName name="_xlnm.Print_Area" localSheetId="1">P_DIS!$A$1:$V$263</definedName>
    <definedName name="_xlnm.Print_Area" localSheetId="2">'UEstandar-Uexp'!$A$1:$R$325</definedName>
    <definedName name="RangoValores">OFFSET('UEstandar-Uexp'!$R$12, 0, 0, COUNTA('UEstandar-Uexp'!$Q$12:$Q$14), 1)</definedName>
    <definedName name="RangoValoresIncer">OFFSET('UEstandar-Uexp'!$R$38, 0, 0, COUNTA('UEstandar-Uexp'!$Q$38:$Q$40), 1)</definedName>
    <definedName name="v" localSheetId="0">#REF!</definedName>
    <definedName name="v" localSheetId="2">#REF!</definedName>
    <definedName name="v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9" i="51" l="1"/>
  <c r="P38" i="51"/>
  <c r="Q242" i="51"/>
  <c r="Q219" i="51"/>
  <c r="Q196" i="51"/>
  <c r="Q173" i="51"/>
  <c r="Q150" i="51"/>
  <c r="Q127" i="51"/>
  <c r="Q104" i="51"/>
  <c r="Q81" i="51"/>
  <c r="U58" i="51"/>
  <c r="Q58" i="51"/>
  <c r="U242" i="51"/>
  <c r="U219" i="51"/>
  <c r="U196" i="51"/>
  <c r="U173" i="51"/>
  <c r="U150" i="51"/>
  <c r="U127" i="51"/>
  <c r="U104" i="51"/>
  <c r="U81" i="51"/>
  <c r="U7" i="51"/>
  <c r="Y18" i="51"/>
  <c r="T17" i="51"/>
  <c r="V17" i="51"/>
  <c r="C10" i="59"/>
  <c r="C11" i="59"/>
  <c r="C12" i="59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C31" i="59"/>
  <c r="C32" i="59"/>
  <c r="C33" i="59"/>
  <c r="C34" i="59"/>
  <c r="C35" i="59"/>
  <c r="C36" i="59"/>
  <c r="C37" i="59"/>
  <c r="C38" i="59"/>
  <c r="C39" i="59"/>
  <c r="C40" i="59"/>
  <c r="C41" i="59"/>
  <c r="C42" i="59"/>
  <c r="C43" i="59"/>
  <c r="C44" i="59"/>
  <c r="C45" i="59"/>
  <c r="C46" i="59"/>
  <c r="C47" i="59"/>
  <c r="C48" i="59"/>
  <c r="C49" i="59"/>
  <c r="C50" i="59"/>
  <c r="C51" i="59"/>
  <c r="C52" i="59"/>
  <c r="C53" i="59"/>
  <c r="C54" i="59"/>
  <c r="C55" i="59"/>
  <c r="C56" i="59"/>
  <c r="C57" i="59"/>
  <c r="C58" i="59"/>
  <c r="C59" i="59"/>
  <c r="C60" i="59"/>
  <c r="C61" i="59"/>
  <c r="C62" i="59"/>
  <c r="C63" i="59"/>
  <c r="C64" i="59"/>
  <c r="C65" i="59"/>
  <c r="C66" i="59"/>
  <c r="C67" i="59"/>
  <c r="C68" i="59"/>
  <c r="C69" i="59"/>
  <c r="C70" i="59"/>
  <c r="C71" i="59"/>
  <c r="C72" i="59"/>
  <c r="C73" i="59"/>
  <c r="C74" i="59"/>
  <c r="C75" i="59"/>
  <c r="C76" i="59"/>
  <c r="C77" i="59"/>
  <c r="C78" i="59"/>
  <c r="C79" i="59"/>
  <c r="C80" i="59"/>
  <c r="C81" i="59"/>
  <c r="C82" i="59"/>
  <c r="C83" i="59"/>
  <c r="C84" i="59"/>
  <c r="C85" i="59"/>
  <c r="C86" i="59"/>
  <c r="C87" i="59"/>
  <c r="C88" i="59"/>
  <c r="C89" i="59"/>
  <c r="C90" i="59"/>
  <c r="C91" i="59"/>
  <c r="C92" i="59"/>
  <c r="C93" i="59"/>
  <c r="C94" i="59"/>
  <c r="C95" i="59"/>
  <c r="C96" i="59"/>
  <c r="C97" i="59"/>
  <c r="C98" i="59"/>
  <c r="C99" i="59"/>
  <c r="C100" i="59"/>
  <c r="C101" i="59"/>
  <c r="C102" i="59"/>
  <c r="C103" i="59"/>
  <c r="C104" i="59"/>
  <c r="C105" i="59"/>
  <c r="C106" i="59"/>
  <c r="C107" i="59"/>
  <c r="C108" i="59"/>
  <c r="C109" i="59"/>
  <c r="C110" i="59"/>
  <c r="C111" i="59"/>
  <c r="C112" i="59"/>
  <c r="C113" i="59"/>
  <c r="C114" i="59"/>
  <c r="C115" i="59"/>
  <c r="C116" i="59"/>
  <c r="C117" i="59"/>
  <c r="C118" i="59"/>
  <c r="C119" i="59"/>
  <c r="C120" i="59"/>
  <c r="C121" i="59"/>
  <c r="C122" i="59"/>
  <c r="C123" i="59"/>
  <c r="C124" i="59"/>
  <c r="C125" i="59"/>
  <c r="C126" i="59"/>
  <c r="C127" i="59"/>
  <c r="C128" i="59"/>
  <c r="C129" i="59"/>
  <c r="C130" i="59"/>
  <c r="C131" i="59"/>
  <c r="C132" i="59"/>
  <c r="C133" i="59"/>
  <c r="C134" i="59"/>
  <c r="C135" i="59"/>
  <c r="C136" i="59"/>
  <c r="C137" i="59"/>
  <c r="C138" i="59"/>
  <c r="C139" i="59"/>
  <c r="C140" i="59"/>
  <c r="C141" i="59"/>
  <c r="C142" i="59"/>
  <c r="C143" i="59"/>
  <c r="C144" i="59"/>
  <c r="C145" i="59"/>
  <c r="C146" i="59"/>
  <c r="C147" i="59"/>
  <c r="C148" i="59"/>
  <c r="C149" i="59"/>
  <c r="C150" i="59"/>
  <c r="C151" i="59"/>
  <c r="C152" i="59"/>
  <c r="C153" i="59"/>
  <c r="C154" i="59"/>
  <c r="C155" i="59"/>
  <c r="C156" i="59"/>
  <c r="C157" i="59"/>
  <c r="C158" i="59"/>
  <c r="C159" i="59"/>
  <c r="C160" i="59"/>
  <c r="C161" i="59"/>
  <c r="C162" i="59"/>
  <c r="C163" i="59"/>
  <c r="C164" i="59"/>
  <c r="C165" i="59"/>
  <c r="C166" i="59"/>
  <c r="C167" i="59"/>
  <c r="C168" i="59"/>
  <c r="C169" i="59"/>
  <c r="C170" i="59"/>
  <c r="C171" i="59"/>
  <c r="C172" i="59"/>
  <c r="C173" i="59"/>
  <c r="C174" i="59"/>
  <c r="C175" i="59"/>
  <c r="C176" i="59"/>
  <c r="C177" i="59"/>
  <c r="C178" i="59"/>
  <c r="C179" i="59"/>
  <c r="C180" i="59"/>
  <c r="C181" i="59"/>
  <c r="C182" i="59"/>
  <c r="C183" i="59"/>
  <c r="C184" i="59"/>
  <c r="C185" i="59"/>
  <c r="C186" i="59"/>
  <c r="C187" i="59"/>
  <c r="C188" i="59"/>
  <c r="C189" i="59"/>
  <c r="C190" i="59"/>
  <c r="C191" i="59"/>
  <c r="C192" i="59"/>
  <c r="C193" i="59"/>
  <c r="C194" i="59"/>
  <c r="C195" i="59"/>
  <c r="C196" i="59"/>
  <c r="C197" i="59"/>
  <c r="C198" i="59"/>
  <c r="C199" i="59"/>
  <c r="C200" i="59"/>
  <c r="C201" i="59"/>
  <c r="C202" i="59"/>
  <c r="C203" i="59"/>
  <c r="C204" i="59"/>
  <c r="C205" i="59"/>
  <c r="C206" i="59"/>
  <c r="C207" i="59"/>
  <c r="C208" i="59"/>
  <c r="C9" i="59"/>
  <c r="H4" i="59"/>
  <c r="R4" i="58"/>
  <c r="V4" i="51"/>
  <c r="V2" i="51"/>
  <c r="T241" i="51"/>
  <c r="T218" i="51"/>
  <c r="T195" i="51"/>
  <c r="T172" i="51"/>
  <c r="T149" i="51"/>
  <c r="T126" i="51"/>
  <c r="T103" i="51"/>
  <c r="T80" i="51"/>
  <c r="T57" i="51"/>
  <c r="T34" i="51"/>
  <c r="Q40" i="51"/>
  <c r="Q41" i="51"/>
  <c r="Q42" i="51"/>
  <c r="Q43" i="51"/>
  <c r="Q44" i="51"/>
  <c r="Q45" i="51"/>
  <c r="Q46" i="51"/>
  <c r="Q47" i="51"/>
  <c r="Q48" i="51"/>
  <c r="Q49" i="51"/>
  <c r="Q50" i="51"/>
  <c r="Q51" i="51"/>
  <c r="Q52" i="51"/>
  <c r="Q53" i="51"/>
  <c r="Q54" i="51"/>
  <c r="Q55" i="51"/>
  <c r="Q56" i="51"/>
  <c r="Q36" i="51"/>
  <c r="Q37" i="51"/>
  <c r="Q19" i="51"/>
  <c r="C241" i="51"/>
  <c r="C218" i="51"/>
  <c r="C195" i="51"/>
  <c r="C172" i="51"/>
  <c r="C149" i="51"/>
  <c r="C126" i="51"/>
  <c r="C103" i="51"/>
  <c r="C80" i="51"/>
  <c r="C57" i="51"/>
  <c r="C34" i="51"/>
  <c r="T16" i="51"/>
  <c r="T15" i="51"/>
  <c r="B10" i="59"/>
  <c r="B11" i="59"/>
  <c r="B12" i="59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B31" i="59"/>
  <c r="B32" i="59"/>
  <c r="B33" i="59"/>
  <c r="B34" i="59"/>
  <c r="B35" i="59"/>
  <c r="B36" i="59"/>
  <c r="B37" i="59"/>
  <c r="B38" i="59"/>
  <c r="B39" i="59"/>
  <c r="B40" i="59"/>
  <c r="B41" i="59"/>
  <c r="B42" i="59"/>
  <c r="B43" i="59"/>
  <c r="B44" i="59"/>
  <c r="B45" i="59"/>
  <c r="B46" i="59"/>
  <c r="B47" i="59"/>
  <c r="B48" i="59"/>
  <c r="B49" i="59"/>
  <c r="B50" i="59"/>
  <c r="B51" i="59"/>
  <c r="B52" i="59"/>
  <c r="B53" i="59"/>
  <c r="B54" i="59"/>
  <c r="B55" i="59"/>
  <c r="B56" i="59"/>
  <c r="B57" i="59"/>
  <c r="B58" i="59"/>
  <c r="B59" i="59"/>
  <c r="B60" i="59"/>
  <c r="B61" i="59"/>
  <c r="B62" i="59"/>
  <c r="B63" i="59"/>
  <c r="B64" i="59"/>
  <c r="B65" i="59"/>
  <c r="B66" i="59"/>
  <c r="B67" i="59"/>
  <c r="B68" i="59"/>
  <c r="B69" i="59"/>
  <c r="B70" i="59"/>
  <c r="B71" i="59"/>
  <c r="B72" i="59"/>
  <c r="B73" i="59"/>
  <c r="B74" i="59"/>
  <c r="B75" i="59"/>
  <c r="B76" i="59"/>
  <c r="B77" i="59"/>
  <c r="B78" i="59"/>
  <c r="B79" i="59"/>
  <c r="B80" i="59"/>
  <c r="B81" i="59"/>
  <c r="B82" i="59"/>
  <c r="B83" i="59"/>
  <c r="B84" i="59"/>
  <c r="B85" i="59"/>
  <c r="B86" i="59"/>
  <c r="B87" i="59"/>
  <c r="B88" i="59"/>
  <c r="B89" i="59"/>
  <c r="B90" i="59"/>
  <c r="B91" i="59"/>
  <c r="B92" i="59"/>
  <c r="B93" i="59"/>
  <c r="B94" i="59"/>
  <c r="B95" i="59"/>
  <c r="B96" i="59"/>
  <c r="B97" i="59"/>
  <c r="B98" i="59"/>
  <c r="B99" i="59"/>
  <c r="B100" i="59"/>
  <c r="B101" i="59"/>
  <c r="B102" i="59"/>
  <c r="B103" i="59"/>
  <c r="B104" i="59"/>
  <c r="B105" i="59"/>
  <c r="B106" i="59"/>
  <c r="B107" i="59"/>
  <c r="B108" i="59"/>
  <c r="B109" i="59"/>
  <c r="B110" i="59"/>
  <c r="B111" i="59"/>
  <c r="B112" i="59"/>
  <c r="B113" i="59"/>
  <c r="B114" i="59"/>
  <c r="B115" i="59"/>
  <c r="B116" i="59"/>
  <c r="B117" i="59"/>
  <c r="B118" i="59"/>
  <c r="B119" i="59"/>
  <c r="B120" i="59"/>
  <c r="B121" i="59"/>
  <c r="B122" i="59"/>
  <c r="B123" i="59"/>
  <c r="B124" i="59"/>
  <c r="B125" i="59"/>
  <c r="B126" i="59"/>
  <c r="B127" i="59"/>
  <c r="B128" i="59"/>
  <c r="B129" i="59"/>
  <c r="B130" i="59"/>
  <c r="B131" i="59"/>
  <c r="B132" i="59"/>
  <c r="B133" i="59"/>
  <c r="B134" i="59"/>
  <c r="B135" i="59"/>
  <c r="B136" i="59"/>
  <c r="B137" i="59"/>
  <c r="B138" i="59"/>
  <c r="B139" i="59"/>
  <c r="B140" i="59"/>
  <c r="B141" i="59"/>
  <c r="B142" i="59"/>
  <c r="B143" i="59"/>
  <c r="B144" i="59"/>
  <c r="B145" i="59"/>
  <c r="B146" i="59"/>
  <c r="B147" i="59"/>
  <c r="B148" i="59"/>
  <c r="B149" i="59"/>
  <c r="B150" i="59"/>
  <c r="B151" i="59"/>
  <c r="B152" i="59"/>
  <c r="B153" i="59"/>
  <c r="B154" i="59"/>
  <c r="B155" i="59"/>
  <c r="B156" i="59"/>
  <c r="B157" i="59"/>
  <c r="B158" i="59"/>
  <c r="B159" i="59"/>
  <c r="B160" i="59"/>
  <c r="B161" i="59"/>
  <c r="B162" i="59"/>
  <c r="B163" i="59"/>
  <c r="B164" i="59"/>
  <c r="B165" i="59"/>
  <c r="B166" i="59"/>
  <c r="B167" i="59"/>
  <c r="B168" i="59"/>
  <c r="B169" i="59"/>
  <c r="B170" i="59"/>
  <c r="B171" i="59"/>
  <c r="B172" i="59"/>
  <c r="B173" i="59"/>
  <c r="B174" i="59"/>
  <c r="B175" i="59"/>
  <c r="B176" i="59"/>
  <c r="B177" i="59"/>
  <c r="B178" i="59"/>
  <c r="B179" i="59"/>
  <c r="B180" i="59"/>
  <c r="B181" i="59"/>
  <c r="B182" i="59"/>
  <c r="B183" i="59"/>
  <c r="B184" i="59"/>
  <c r="B185" i="59"/>
  <c r="B186" i="59"/>
  <c r="B187" i="59"/>
  <c r="B188" i="59"/>
  <c r="B189" i="59"/>
  <c r="B190" i="59"/>
  <c r="B191" i="59"/>
  <c r="B192" i="59"/>
  <c r="B193" i="59"/>
  <c r="B194" i="59"/>
  <c r="B195" i="59"/>
  <c r="B196" i="59"/>
  <c r="B197" i="59"/>
  <c r="B198" i="59"/>
  <c r="B199" i="59"/>
  <c r="B200" i="59"/>
  <c r="B201" i="59"/>
  <c r="B202" i="59"/>
  <c r="B203" i="59"/>
  <c r="B204" i="59"/>
  <c r="B205" i="59"/>
  <c r="B206" i="59"/>
  <c r="B207" i="59"/>
  <c r="B208" i="59"/>
  <c r="B9" i="59"/>
  <c r="O9" i="51"/>
  <c r="Q29" i="58" l="1"/>
  <c r="Q30" i="58"/>
  <c r="Q28" i="58"/>
  <c r="D9" i="58"/>
  <c r="Q12" i="58" s="1"/>
  <c r="I9" i="58"/>
  <c r="Q13" i="58" s="1"/>
  <c r="N9" i="58"/>
  <c r="Q14" i="58" s="1"/>
  <c r="D12" i="58"/>
  <c r="D13" i="58"/>
  <c r="D14" i="58"/>
  <c r="D25" i="58" s="1"/>
  <c r="D15" i="58"/>
  <c r="D16" i="58"/>
  <c r="D17" i="58"/>
  <c r="D18" i="58"/>
  <c r="D19" i="58"/>
  <c r="D20" i="58"/>
  <c r="E12" i="58"/>
  <c r="E13" i="58"/>
  <c r="E14" i="58"/>
  <c r="E15" i="58"/>
  <c r="E16" i="58"/>
  <c r="E17" i="58"/>
  <c r="E18" i="58"/>
  <c r="E19" i="58"/>
  <c r="E20" i="58"/>
  <c r="Q55" i="58"/>
  <c r="H15" i="58" l="1"/>
  <c r="AD19" i="51"/>
  <c r="P263" i="51"/>
  <c r="P262" i="51"/>
  <c r="P261" i="51"/>
  <c r="P260" i="51"/>
  <c r="P259" i="51"/>
  <c r="P258" i="51"/>
  <c r="P257" i="51"/>
  <c r="P256" i="51"/>
  <c r="P255" i="51"/>
  <c r="P254" i="51"/>
  <c r="P253" i="51"/>
  <c r="P252" i="51"/>
  <c r="P251" i="51"/>
  <c r="P250" i="51"/>
  <c r="P249" i="51"/>
  <c r="P248" i="51"/>
  <c r="P247" i="51"/>
  <c r="P246" i="51"/>
  <c r="P245" i="51"/>
  <c r="P244" i="51"/>
  <c r="P243" i="51"/>
  <c r="P242" i="51"/>
  <c r="P240" i="51"/>
  <c r="P239" i="51"/>
  <c r="P238" i="51"/>
  <c r="P237" i="51"/>
  <c r="P236" i="51"/>
  <c r="P235" i="51"/>
  <c r="P234" i="51"/>
  <c r="P233" i="51"/>
  <c r="P232" i="51"/>
  <c r="P231" i="51"/>
  <c r="P230" i="51"/>
  <c r="P229" i="51"/>
  <c r="P228" i="51"/>
  <c r="P227" i="51"/>
  <c r="P226" i="51"/>
  <c r="P225" i="51"/>
  <c r="P224" i="51"/>
  <c r="P223" i="51"/>
  <c r="P222" i="51"/>
  <c r="P221" i="51"/>
  <c r="P220" i="51"/>
  <c r="P219" i="51"/>
  <c r="P217" i="51"/>
  <c r="P216" i="51"/>
  <c r="P215" i="51"/>
  <c r="P214" i="51"/>
  <c r="P213" i="51"/>
  <c r="P212" i="51"/>
  <c r="P211" i="51"/>
  <c r="P210" i="51"/>
  <c r="P209" i="51"/>
  <c r="P208" i="51"/>
  <c r="P207" i="51"/>
  <c r="P206" i="51"/>
  <c r="P205" i="51"/>
  <c r="P204" i="51"/>
  <c r="P203" i="51"/>
  <c r="P202" i="51"/>
  <c r="P201" i="51"/>
  <c r="P200" i="51"/>
  <c r="P199" i="51"/>
  <c r="P198" i="51"/>
  <c r="P197" i="51"/>
  <c r="P196" i="51"/>
  <c r="P194" i="51"/>
  <c r="P193" i="51"/>
  <c r="P192" i="51"/>
  <c r="P191" i="51"/>
  <c r="P190" i="51"/>
  <c r="P189" i="51"/>
  <c r="P188" i="51"/>
  <c r="P187" i="51"/>
  <c r="P186" i="51"/>
  <c r="P185" i="51"/>
  <c r="P184" i="51"/>
  <c r="P183" i="51"/>
  <c r="P182" i="51"/>
  <c r="P181" i="51"/>
  <c r="P180" i="51"/>
  <c r="P179" i="51"/>
  <c r="P178" i="51"/>
  <c r="P177" i="51"/>
  <c r="P176" i="51"/>
  <c r="P175" i="51"/>
  <c r="P174" i="51"/>
  <c r="P173" i="51"/>
  <c r="P171" i="51"/>
  <c r="P170" i="51"/>
  <c r="P169" i="51"/>
  <c r="P168" i="51"/>
  <c r="P167" i="51"/>
  <c r="P166" i="51"/>
  <c r="P165" i="51"/>
  <c r="P164" i="51"/>
  <c r="P163" i="51"/>
  <c r="P162" i="51"/>
  <c r="P161" i="51"/>
  <c r="P160" i="51"/>
  <c r="P159" i="51"/>
  <c r="P158" i="51"/>
  <c r="P157" i="51"/>
  <c r="P156" i="51"/>
  <c r="P155" i="51"/>
  <c r="P154" i="51"/>
  <c r="P153" i="51"/>
  <c r="P152" i="51"/>
  <c r="P151" i="51"/>
  <c r="P150" i="51"/>
  <c r="P148" i="51"/>
  <c r="P147" i="51"/>
  <c r="P146" i="51"/>
  <c r="P145" i="51"/>
  <c r="P144" i="51"/>
  <c r="P143" i="51"/>
  <c r="P142" i="51"/>
  <c r="P141" i="51"/>
  <c r="P140" i="51"/>
  <c r="P139" i="51"/>
  <c r="P138" i="51"/>
  <c r="P137" i="51"/>
  <c r="P136" i="51"/>
  <c r="P135" i="51"/>
  <c r="P134" i="51"/>
  <c r="P133" i="51"/>
  <c r="P132" i="51"/>
  <c r="P131" i="51"/>
  <c r="P130" i="51"/>
  <c r="P129" i="51"/>
  <c r="P128" i="51"/>
  <c r="P127" i="51"/>
  <c r="P125" i="51"/>
  <c r="P124" i="51"/>
  <c r="P123" i="51"/>
  <c r="P122" i="51"/>
  <c r="P121" i="51"/>
  <c r="P120" i="51"/>
  <c r="P119" i="51"/>
  <c r="P118" i="51"/>
  <c r="P117" i="51"/>
  <c r="P116" i="51"/>
  <c r="P115" i="51"/>
  <c r="P114" i="51"/>
  <c r="P113" i="51"/>
  <c r="P112" i="51"/>
  <c r="P111" i="51"/>
  <c r="P110" i="51"/>
  <c r="P109" i="51"/>
  <c r="P108" i="51"/>
  <c r="P107" i="51"/>
  <c r="P106" i="51"/>
  <c r="P105" i="51"/>
  <c r="P104" i="51"/>
  <c r="P102" i="51"/>
  <c r="P101" i="51"/>
  <c r="P100" i="51"/>
  <c r="P99" i="51"/>
  <c r="P98" i="51"/>
  <c r="P97" i="51"/>
  <c r="P96" i="51"/>
  <c r="P95" i="51"/>
  <c r="P94" i="51"/>
  <c r="P93" i="51"/>
  <c r="P92" i="51"/>
  <c r="P91" i="51"/>
  <c r="P90" i="51"/>
  <c r="P89" i="51"/>
  <c r="P88" i="51"/>
  <c r="P87" i="51"/>
  <c r="P86" i="51"/>
  <c r="P85" i="51"/>
  <c r="P84" i="51"/>
  <c r="P83" i="51"/>
  <c r="P82" i="51"/>
  <c r="P81" i="51"/>
  <c r="P79" i="51"/>
  <c r="P78" i="51"/>
  <c r="P77" i="51"/>
  <c r="P76" i="51"/>
  <c r="P75" i="51"/>
  <c r="P74" i="51"/>
  <c r="P73" i="51"/>
  <c r="P72" i="51"/>
  <c r="P71" i="51"/>
  <c r="P70" i="51"/>
  <c r="P69" i="51"/>
  <c r="P68" i="51"/>
  <c r="P67" i="51"/>
  <c r="P66" i="51"/>
  <c r="P65" i="51"/>
  <c r="P64" i="51"/>
  <c r="P63" i="51"/>
  <c r="P62" i="51"/>
  <c r="P61" i="51"/>
  <c r="P60" i="51"/>
  <c r="P59" i="51"/>
  <c r="P58" i="51"/>
  <c r="P56" i="51"/>
  <c r="P55" i="51"/>
  <c r="P54" i="51"/>
  <c r="P53" i="51"/>
  <c r="P52" i="51"/>
  <c r="P51" i="51"/>
  <c r="P50" i="51"/>
  <c r="P49" i="51"/>
  <c r="P48" i="51"/>
  <c r="P47" i="51"/>
  <c r="P46" i="51"/>
  <c r="P45" i="51"/>
  <c r="P44" i="51"/>
  <c r="P43" i="51"/>
  <c r="P42" i="51"/>
  <c r="P41" i="51"/>
  <c r="P40" i="51"/>
  <c r="P39" i="51"/>
  <c r="O16" i="51"/>
  <c r="L35" i="51" s="1"/>
  <c r="O15" i="51"/>
  <c r="C76" i="58"/>
  <c r="C77" i="58"/>
  <c r="C78" i="58"/>
  <c r="C79" i="58"/>
  <c r="C80" i="58"/>
  <c r="C81" i="58"/>
  <c r="B76" i="58"/>
  <c r="B77" i="58"/>
  <c r="B78" i="58"/>
  <c r="B79" i="58"/>
  <c r="B80" i="58"/>
  <c r="B81" i="58"/>
  <c r="N263" i="51"/>
  <c r="N262" i="51"/>
  <c r="N261" i="51"/>
  <c r="N260" i="51"/>
  <c r="N259" i="51"/>
  <c r="N258" i="51"/>
  <c r="N257" i="51"/>
  <c r="N256" i="51"/>
  <c r="N255" i="51"/>
  <c r="N254" i="51"/>
  <c r="N253" i="51"/>
  <c r="N252" i="51"/>
  <c r="N251" i="51"/>
  <c r="N250" i="51"/>
  <c r="N249" i="51"/>
  <c r="N248" i="51"/>
  <c r="N247" i="51"/>
  <c r="N246" i="51"/>
  <c r="N245" i="51"/>
  <c r="N244" i="51"/>
  <c r="N243" i="51"/>
  <c r="N242" i="51"/>
  <c r="N240" i="51"/>
  <c r="N239" i="51"/>
  <c r="N238" i="51"/>
  <c r="N237" i="51"/>
  <c r="N236" i="51"/>
  <c r="N235" i="51"/>
  <c r="N234" i="51"/>
  <c r="N233" i="51"/>
  <c r="N232" i="51"/>
  <c r="N231" i="51"/>
  <c r="N230" i="51"/>
  <c r="N229" i="51"/>
  <c r="N228" i="51"/>
  <c r="N227" i="51"/>
  <c r="N226" i="51"/>
  <c r="N225" i="51"/>
  <c r="N224" i="51"/>
  <c r="N223" i="51"/>
  <c r="N222" i="51"/>
  <c r="N221" i="51"/>
  <c r="N220" i="51"/>
  <c r="N219" i="51"/>
  <c r="N217" i="51"/>
  <c r="N216" i="51"/>
  <c r="N215" i="51"/>
  <c r="N214" i="51"/>
  <c r="N213" i="51"/>
  <c r="N212" i="51"/>
  <c r="N211" i="51"/>
  <c r="N210" i="51"/>
  <c r="N209" i="51"/>
  <c r="N208" i="51"/>
  <c r="N207" i="51"/>
  <c r="N206" i="51"/>
  <c r="N205" i="51"/>
  <c r="N204" i="51"/>
  <c r="N203" i="51"/>
  <c r="N202" i="51"/>
  <c r="N201" i="51"/>
  <c r="N200" i="51"/>
  <c r="N199" i="51"/>
  <c r="N198" i="51"/>
  <c r="N197" i="51"/>
  <c r="N196" i="51"/>
  <c r="N194" i="51"/>
  <c r="N193" i="51"/>
  <c r="N192" i="51"/>
  <c r="N191" i="51"/>
  <c r="N190" i="51"/>
  <c r="N189" i="51"/>
  <c r="N188" i="51"/>
  <c r="N187" i="51"/>
  <c r="N186" i="51"/>
  <c r="N185" i="51"/>
  <c r="N184" i="51"/>
  <c r="N183" i="51"/>
  <c r="N182" i="51"/>
  <c r="N181" i="51"/>
  <c r="N180" i="51"/>
  <c r="N179" i="51"/>
  <c r="N178" i="51"/>
  <c r="N177" i="51"/>
  <c r="N176" i="51"/>
  <c r="N175" i="51"/>
  <c r="N174" i="51"/>
  <c r="N173" i="51"/>
  <c r="N171" i="51"/>
  <c r="N170" i="51"/>
  <c r="N169" i="51"/>
  <c r="N168" i="51"/>
  <c r="N167" i="51"/>
  <c r="N166" i="51"/>
  <c r="N165" i="51"/>
  <c r="N164" i="51"/>
  <c r="N163" i="51"/>
  <c r="N162" i="51"/>
  <c r="N161" i="51"/>
  <c r="N160" i="51"/>
  <c r="N159" i="51"/>
  <c r="N158" i="51"/>
  <c r="N157" i="51"/>
  <c r="N156" i="51"/>
  <c r="N155" i="51"/>
  <c r="N154" i="51"/>
  <c r="N153" i="51"/>
  <c r="N152" i="51"/>
  <c r="N151" i="51"/>
  <c r="N150" i="51"/>
  <c r="N148" i="51"/>
  <c r="N147" i="51"/>
  <c r="N146" i="51"/>
  <c r="N145" i="51"/>
  <c r="N144" i="51"/>
  <c r="N143" i="51"/>
  <c r="N142" i="51"/>
  <c r="N141" i="51"/>
  <c r="N140" i="51"/>
  <c r="N139" i="51"/>
  <c r="N138" i="51"/>
  <c r="N137" i="51"/>
  <c r="N136" i="51"/>
  <c r="N135" i="51"/>
  <c r="N134" i="51"/>
  <c r="N133" i="51"/>
  <c r="N132" i="51"/>
  <c r="N131" i="51"/>
  <c r="N130" i="51"/>
  <c r="N129" i="51"/>
  <c r="N128" i="51"/>
  <c r="N127" i="51"/>
  <c r="N125" i="51"/>
  <c r="N124" i="51"/>
  <c r="N123" i="51"/>
  <c r="N122" i="51"/>
  <c r="N121" i="51"/>
  <c r="N120" i="51"/>
  <c r="N119" i="51"/>
  <c r="N118" i="51"/>
  <c r="N117" i="51"/>
  <c r="N116" i="51"/>
  <c r="N115" i="51"/>
  <c r="N114" i="51"/>
  <c r="N113" i="51"/>
  <c r="N112" i="51"/>
  <c r="N111" i="51"/>
  <c r="N110" i="51"/>
  <c r="N109" i="51"/>
  <c r="N108" i="51"/>
  <c r="N107" i="51"/>
  <c r="N106" i="51"/>
  <c r="N105" i="51"/>
  <c r="N104" i="51"/>
  <c r="N102" i="51"/>
  <c r="N101" i="51"/>
  <c r="N100" i="51"/>
  <c r="N99" i="51"/>
  <c r="N98" i="51"/>
  <c r="N97" i="51"/>
  <c r="N96" i="51"/>
  <c r="N95" i="51"/>
  <c r="N94" i="51"/>
  <c r="N93" i="51"/>
  <c r="N92" i="51"/>
  <c r="N91" i="51"/>
  <c r="N90" i="51"/>
  <c r="N89" i="51"/>
  <c r="N88" i="51"/>
  <c r="N87" i="51"/>
  <c r="N86" i="51"/>
  <c r="N85" i="51"/>
  <c r="N84" i="51"/>
  <c r="N83" i="51"/>
  <c r="N82" i="51"/>
  <c r="N81" i="51"/>
  <c r="N79" i="51"/>
  <c r="N78" i="51"/>
  <c r="N77" i="51"/>
  <c r="N76" i="51"/>
  <c r="N75" i="51"/>
  <c r="N74" i="51"/>
  <c r="N73" i="51"/>
  <c r="N72" i="51"/>
  <c r="N71" i="51"/>
  <c r="N70" i="51"/>
  <c r="N69" i="51"/>
  <c r="N68" i="51"/>
  <c r="N67" i="51"/>
  <c r="N66" i="51"/>
  <c r="N65" i="51"/>
  <c r="N64" i="51"/>
  <c r="N63" i="51"/>
  <c r="N62" i="51"/>
  <c r="N61" i="51"/>
  <c r="N60" i="51"/>
  <c r="N59" i="51"/>
  <c r="N58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O263" i="51"/>
  <c r="O262" i="51"/>
  <c r="O261" i="51"/>
  <c r="O260" i="51"/>
  <c r="O259" i="51"/>
  <c r="O258" i="51"/>
  <c r="O257" i="51"/>
  <c r="O256" i="51"/>
  <c r="O255" i="51"/>
  <c r="O254" i="51"/>
  <c r="O253" i="51"/>
  <c r="O252" i="51"/>
  <c r="O251" i="51"/>
  <c r="O250" i="51"/>
  <c r="O249" i="51"/>
  <c r="O248" i="51"/>
  <c r="O247" i="51"/>
  <c r="O246" i="51"/>
  <c r="O245" i="51"/>
  <c r="O244" i="51"/>
  <c r="O243" i="51"/>
  <c r="O242" i="51"/>
  <c r="O240" i="51"/>
  <c r="O239" i="51"/>
  <c r="O238" i="51"/>
  <c r="O237" i="51"/>
  <c r="O236" i="51"/>
  <c r="O235" i="51"/>
  <c r="O234" i="51"/>
  <c r="O233" i="51"/>
  <c r="O232" i="51"/>
  <c r="O231" i="51"/>
  <c r="O230" i="51"/>
  <c r="O229" i="51"/>
  <c r="O228" i="51"/>
  <c r="O227" i="51"/>
  <c r="O226" i="51"/>
  <c r="O225" i="51"/>
  <c r="O224" i="51"/>
  <c r="O223" i="51"/>
  <c r="O222" i="51"/>
  <c r="O221" i="51"/>
  <c r="O220" i="51"/>
  <c r="O219" i="51"/>
  <c r="O217" i="51"/>
  <c r="O216" i="51"/>
  <c r="O215" i="51"/>
  <c r="O214" i="51"/>
  <c r="O213" i="51"/>
  <c r="O212" i="51"/>
  <c r="O211" i="51"/>
  <c r="O210" i="51"/>
  <c r="O209" i="51"/>
  <c r="O208" i="51"/>
  <c r="O207" i="51"/>
  <c r="O206" i="51"/>
  <c r="O205" i="51"/>
  <c r="O204" i="51"/>
  <c r="O203" i="51"/>
  <c r="O202" i="51"/>
  <c r="O201" i="51"/>
  <c r="O200" i="51"/>
  <c r="O199" i="51"/>
  <c r="O198" i="51"/>
  <c r="O197" i="51"/>
  <c r="O196" i="51"/>
  <c r="O194" i="51"/>
  <c r="O193" i="51"/>
  <c r="O192" i="51"/>
  <c r="O191" i="51"/>
  <c r="O190" i="51"/>
  <c r="O189" i="51"/>
  <c r="O188" i="51"/>
  <c r="O187" i="51"/>
  <c r="O186" i="51"/>
  <c r="O185" i="51"/>
  <c r="O184" i="51"/>
  <c r="O183" i="51"/>
  <c r="O182" i="51"/>
  <c r="O181" i="51"/>
  <c r="O180" i="51"/>
  <c r="O179" i="51"/>
  <c r="O178" i="51"/>
  <c r="O177" i="51"/>
  <c r="O176" i="51"/>
  <c r="O175" i="51"/>
  <c r="O174" i="51"/>
  <c r="O173" i="51"/>
  <c r="O171" i="51"/>
  <c r="O170" i="51"/>
  <c r="O169" i="51"/>
  <c r="O168" i="51"/>
  <c r="O167" i="51"/>
  <c r="O166" i="51"/>
  <c r="O165" i="51"/>
  <c r="O164" i="51"/>
  <c r="O163" i="51"/>
  <c r="O162" i="51"/>
  <c r="O161" i="51"/>
  <c r="O160" i="51"/>
  <c r="O159" i="51"/>
  <c r="O158" i="51"/>
  <c r="O157" i="51"/>
  <c r="O156" i="51"/>
  <c r="O155" i="51"/>
  <c r="O154" i="51"/>
  <c r="O153" i="51"/>
  <c r="O152" i="51"/>
  <c r="O151" i="51"/>
  <c r="O150" i="51"/>
  <c r="O148" i="51"/>
  <c r="O147" i="51"/>
  <c r="O146" i="51"/>
  <c r="O145" i="51"/>
  <c r="O144" i="51"/>
  <c r="O143" i="51"/>
  <c r="O142" i="51"/>
  <c r="O141" i="51"/>
  <c r="O140" i="51"/>
  <c r="O139" i="51"/>
  <c r="O138" i="51"/>
  <c r="O137" i="51"/>
  <c r="O136" i="51"/>
  <c r="O135" i="51"/>
  <c r="O134" i="51"/>
  <c r="O133" i="51"/>
  <c r="O132" i="51"/>
  <c r="O131" i="51"/>
  <c r="O130" i="51"/>
  <c r="O129" i="51"/>
  <c r="O128" i="51"/>
  <c r="O127" i="51"/>
  <c r="O125" i="51"/>
  <c r="O124" i="51"/>
  <c r="O123" i="51"/>
  <c r="O122" i="51"/>
  <c r="O121" i="51"/>
  <c r="O120" i="51"/>
  <c r="O119" i="51"/>
  <c r="O118" i="51"/>
  <c r="O117" i="51"/>
  <c r="O116" i="51"/>
  <c r="O115" i="51"/>
  <c r="O114" i="51"/>
  <c r="O113" i="51"/>
  <c r="O112" i="51"/>
  <c r="O111" i="51"/>
  <c r="O110" i="51"/>
  <c r="O109" i="51"/>
  <c r="O108" i="51"/>
  <c r="O107" i="51"/>
  <c r="O106" i="51"/>
  <c r="O105" i="51"/>
  <c r="O104" i="51"/>
  <c r="O102" i="51"/>
  <c r="O101" i="51"/>
  <c r="O100" i="51"/>
  <c r="O99" i="51"/>
  <c r="O98" i="51"/>
  <c r="O97" i="51"/>
  <c r="O96" i="51"/>
  <c r="O95" i="51"/>
  <c r="O94" i="51"/>
  <c r="O93" i="51"/>
  <c r="O92" i="51"/>
  <c r="O91" i="51"/>
  <c r="O90" i="51"/>
  <c r="O89" i="51"/>
  <c r="O88" i="51"/>
  <c r="O87" i="51"/>
  <c r="O86" i="51"/>
  <c r="O85" i="51"/>
  <c r="O84" i="51"/>
  <c r="O83" i="51"/>
  <c r="O82" i="51"/>
  <c r="O81" i="51"/>
  <c r="O79" i="51"/>
  <c r="O78" i="51"/>
  <c r="O77" i="51"/>
  <c r="O76" i="51"/>
  <c r="O75" i="51"/>
  <c r="O74" i="51"/>
  <c r="O73" i="51"/>
  <c r="O72" i="51"/>
  <c r="O71" i="51"/>
  <c r="O70" i="51"/>
  <c r="O69" i="51"/>
  <c r="O68" i="51"/>
  <c r="O67" i="51"/>
  <c r="O66" i="51"/>
  <c r="O65" i="51"/>
  <c r="O64" i="51"/>
  <c r="O63" i="51"/>
  <c r="O62" i="51"/>
  <c r="O61" i="51"/>
  <c r="O60" i="51"/>
  <c r="O59" i="51"/>
  <c r="O58" i="51"/>
  <c r="O38" i="51"/>
  <c r="O39" i="51"/>
  <c r="O40" i="51"/>
  <c r="O41" i="51"/>
  <c r="O42" i="51"/>
  <c r="O43" i="51"/>
  <c r="O44" i="51"/>
  <c r="O45" i="51"/>
  <c r="O46" i="51"/>
  <c r="O47" i="51"/>
  <c r="O48" i="51"/>
  <c r="O49" i="51"/>
  <c r="O50" i="51"/>
  <c r="O51" i="51"/>
  <c r="O52" i="51"/>
  <c r="O53" i="51"/>
  <c r="O54" i="51"/>
  <c r="O55" i="51"/>
  <c r="O56" i="51"/>
  <c r="X26" i="51"/>
  <c r="AD17" i="51"/>
  <c r="AE16" i="51"/>
  <c r="H114" i="58" s="1"/>
  <c r="AE15" i="51"/>
  <c r="AE14" i="51"/>
  <c r="AC14" i="51"/>
  <c r="Z25" i="51"/>
  <c r="Z24" i="51"/>
  <c r="Z23" i="51"/>
  <c r="X23" i="51"/>
  <c r="Y17" i="51"/>
  <c r="Z16" i="51"/>
  <c r="Z15" i="51"/>
  <c r="Z14" i="51"/>
  <c r="X14" i="51"/>
  <c r="Z9" i="51"/>
  <c r="Z8" i="51"/>
  <c r="Z7" i="51"/>
  <c r="X7" i="51"/>
  <c r="U8" i="51" l="1"/>
  <c r="O8" i="51"/>
  <c r="O7" i="51"/>
  <c r="U6" i="51"/>
  <c r="H72" i="58" s="1"/>
  <c r="O6" i="51"/>
  <c r="C75" i="58" l="1"/>
  <c r="B75" i="58"/>
  <c r="D118" i="58"/>
  <c r="D119" i="58"/>
  <c r="D117" i="58"/>
  <c r="C118" i="58"/>
  <c r="C119" i="58"/>
  <c r="C117" i="58"/>
  <c r="D107" i="58"/>
  <c r="D109" i="58" s="1"/>
  <c r="M38" i="51"/>
  <c r="M39" i="51"/>
  <c r="M40" i="51"/>
  <c r="M41" i="51"/>
  <c r="M42" i="51"/>
  <c r="M43" i="51"/>
  <c r="M44" i="51"/>
  <c r="M45" i="51"/>
  <c r="M46" i="51"/>
  <c r="M47" i="51"/>
  <c r="M48" i="51"/>
  <c r="M49" i="51"/>
  <c r="M50" i="51"/>
  <c r="M51" i="51"/>
  <c r="M52" i="51"/>
  <c r="M53" i="51"/>
  <c r="M54" i="51"/>
  <c r="M55" i="51"/>
  <c r="M56" i="51"/>
  <c r="M58" i="51"/>
  <c r="M59" i="51"/>
  <c r="M60" i="51"/>
  <c r="M61" i="51"/>
  <c r="M62" i="51"/>
  <c r="M63" i="51"/>
  <c r="M64" i="51"/>
  <c r="M65" i="51"/>
  <c r="M66" i="51"/>
  <c r="M67" i="51"/>
  <c r="M68" i="51"/>
  <c r="M69" i="51"/>
  <c r="M70" i="51"/>
  <c r="M71" i="51"/>
  <c r="M72" i="51"/>
  <c r="M73" i="51"/>
  <c r="M74" i="51"/>
  <c r="M75" i="51"/>
  <c r="M76" i="51"/>
  <c r="M77" i="51"/>
  <c r="M78" i="51"/>
  <c r="M79" i="51"/>
  <c r="M81" i="51"/>
  <c r="M82" i="51"/>
  <c r="M83" i="51"/>
  <c r="M84" i="51"/>
  <c r="M85" i="51"/>
  <c r="M86" i="51"/>
  <c r="M87" i="51"/>
  <c r="M88" i="51"/>
  <c r="M89" i="51"/>
  <c r="M90" i="51"/>
  <c r="M91" i="51"/>
  <c r="M92" i="51"/>
  <c r="M93" i="51"/>
  <c r="M94" i="51"/>
  <c r="M95" i="51"/>
  <c r="M96" i="51"/>
  <c r="M97" i="51"/>
  <c r="M98" i="51"/>
  <c r="M99" i="51"/>
  <c r="M100" i="51"/>
  <c r="M101" i="51"/>
  <c r="M102" i="51"/>
  <c r="M104" i="51"/>
  <c r="M105" i="51"/>
  <c r="M106" i="51"/>
  <c r="M107" i="51"/>
  <c r="M108" i="51"/>
  <c r="M109" i="51"/>
  <c r="M110" i="51"/>
  <c r="M111" i="51"/>
  <c r="M112" i="51"/>
  <c r="M113" i="51"/>
  <c r="M114" i="51"/>
  <c r="M115" i="51"/>
  <c r="M116" i="51"/>
  <c r="M117" i="51"/>
  <c r="M118" i="51"/>
  <c r="M119" i="51"/>
  <c r="M120" i="51"/>
  <c r="M121" i="51"/>
  <c r="M122" i="51"/>
  <c r="M123" i="51"/>
  <c r="M124" i="51"/>
  <c r="M125" i="51"/>
  <c r="M127" i="51"/>
  <c r="M128" i="51"/>
  <c r="M129" i="51"/>
  <c r="M130" i="51"/>
  <c r="M131" i="51"/>
  <c r="M132" i="51"/>
  <c r="M133" i="51"/>
  <c r="M134" i="51"/>
  <c r="M135" i="51"/>
  <c r="M136" i="51"/>
  <c r="M137" i="51"/>
  <c r="M138" i="51"/>
  <c r="M139" i="51"/>
  <c r="M140" i="51"/>
  <c r="M141" i="51"/>
  <c r="M142" i="51"/>
  <c r="M143" i="51"/>
  <c r="M144" i="51"/>
  <c r="M145" i="51"/>
  <c r="M146" i="51"/>
  <c r="M147" i="51"/>
  <c r="M148" i="51"/>
  <c r="M150" i="51"/>
  <c r="M151" i="51"/>
  <c r="M152" i="51"/>
  <c r="M153" i="51"/>
  <c r="M154" i="51"/>
  <c r="M155" i="51"/>
  <c r="M156" i="51"/>
  <c r="M157" i="51"/>
  <c r="M158" i="51"/>
  <c r="M159" i="51"/>
  <c r="M160" i="51"/>
  <c r="M161" i="51"/>
  <c r="M162" i="51"/>
  <c r="M163" i="51"/>
  <c r="M164" i="51"/>
  <c r="M165" i="51"/>
  <c r="M166" i="51"/>
  <c r="M167" i="51"/>
  <c r="M168" i="51"/>
  <c r="M169" i="51"/>
  <c r="M170" i="51"/>
  <c r="M171" i="51"/>
  <c r="M173" i="51"/>
  <c r="M174" i="51"/>
  <c r="M175" i="51"/>
  <c r="M176" i="51"/>
  <c r="M177" i="51"/>
  <c r="M178" i="51"/>
  <c r="M179" i="51"/>
  <c r="M180" i="51"/>
  <c r="M181" i="51"/>
  <c r="M182" i="51"/>
  <c r="M183" i="51"/>
  <c r="M184" i="51"/>
  <c r="M185" i="51"/>
  <c r="M186" i="51"/>
  <c r="M187" i="51"/>
  <c r="M188" i="51"/>
  <c r="M189" i="51"/>
  <c r="M190" i="51"/>
  <c r="M191" i="51"/>
  <c r="M192" i="51"/>
  <c r="M193" i="51"/>
  <c r="M194" i="51"/>
  <c r="M196" i="51"/>
  <c r="M197" i="51"/>
  <c r="M198" i="51"/>
  <c r="M199" i="51"/>
  <c r="M200" i="51"/>
  <c r="M201" i="51"/>
  <c r="M202" i="51"/>
  <c r="M203" i="51"/>
  <c r="M204" i="51"/>
  <c r="M205" i="51"/>
  <c r="M206" i="51"/>
  <c r="M207" i="51"/>
  <c r="M208" i="51"/>
  <c r="M209" i="51"/>
  <c r="M210" i="51"/>
  <c r="M211" i="51"/>
  <c r="M212" i="51"/>
  <c r="M213" i="51"/>
  <c r="M214" i="51"/>
  <c r="M215" i="51"/>
  <c r="M216" i="51"/>
  <c r="M217" i="51"/>
  <c r="M219" i="51"/>
  <c r="M220" i="51"/>
  <c r="M221" i="51"/>
  <c r="M222" i="51"/>
  <c r="M223" i="51"/>
  <c r="M224" i="51"/>
  <c r="M225" i="51"/>
  <c r="M226" i="51"/>
  <c r="M227" i="51"/>
  <c r="M228" i="51"/>
  <c r="M229" i="51"/>
  <c r="M230" i="51"/>
  <c r="M231" i="51"/>
  <c r="M232" i="51"/>
  <c r="M233" i="51"/>
  <c r="M234" i="51"/>
  <c r="M235" i="51"/>
  <c r="M236" i="51"/>
  <c r="M237" i="51"/>
  <c r="M238" i="51"/>
  <c r="M239" i="51"/>
  <c r="M240" i="51"/>
  <c r="M242" i="51"/>
  <c r="M243" i="51"/>
  <c r="M244" i="51"/>
  <c r="M245" i="51"/>
  <c r="M246" i="51"/>
  <c r="M247" i="51"/>
  <c r="M248" i="51"/>
  <c r="M249" i="51"/>
  <c r="M250" i="51"/>
  <c r="M251" i="51"/>
  <c r="M252" i="51"/>
  <c r="M253" i="51"/>
  <c r="M254" i="51"/>
  <c r="M255" i="51"/>
  <c r="M256" i="51"/>
  <c r="M257" i="51"/>
  <c r="M258" i="51"/>
  <c r="M259" i="51"/>
  <c r="M260" i="51"/>
  <c r="M261" i="51"/>
  <c r="M262" i="51"/>
  <c r="M263" i="51"/>
  <c r="Z26" i="51"/>
  <c r="D105" i="58"/>
  <c r="D114" i="58"/>
  <c r="AD18" i="51"/>
  <c r="AD20" i="51"/>
  <c r="AC19" i="51"/>
  <c r="AC20" i="51"/>
  <c r="AC18" i="51"/>
  <c r="Y19" i="51"/>
  <c r="Y20" i="51"/>
  <c r="D100" i="58"/>
  <c r="D99" i="58"/>
  <c r="D98" i="58"/>
  <c r="H95" i="58"/>
  <c r="D95" i="58"/>
  <c r="D89" i="58"/>
  <c r="D88" i="58"/>
  <c r="AA10" i="51"/>
  <c r="M35" i="51" s="1"/>
  <c r="H86" i="58"/>
  <c r="Q57" i="58"/>
  <c r="Q56" i="58"/>
  <c r="O47" i="58"/>
  <c r="N47" i="58"/>
  <c r="M47" i="58"/>
  <c r="O46" i="58"/>
  <c r="N46" i="58"/>
  <c r="M46" i="58"/>
  <c r="O45" i="58"/>
  <c r="N45" i="58"/>
  <c r="M45" i="58"/>
  <c r="O44" i="58"/>
  <c r="N44" i="58"/>
  <c r="M44" i="58"/>
  <c r="O43" i="58"/>
  <c r="N43" i="58"/>
  <c r="M43" i="58"/>
  <c r="O42" i="58"/>
  <c r="N42" i="58"/>
  <c r="M42" i="58"/>
  <c r="O41" i="58"/>
  <c r="N41" i="58"/>
  <c r="M41" i="58"/>
  <c r="O40" i="58"/>
  <c r="N40" i="58"/>
  <c r="M40" i="58"/>
  <c r="O39" i="58"/>
  <c r="N39" i="58"/>
  <c r="M39" i="58"/>
  <c r="O38" i="58"/>
  <c r="N38" i="58"/>
  <c r="M38" i="58"/>
  <c r="O37" i="58"/>
  <c r="N37" i="58"/>
  <c r="M37" i="58"/>
  <c r="J47" i="58"/>
  <c r="I47" i="58"/>
  <c r="H47" i="58"/>
  <c r="J46" i="58"/>
  <c r="I46" i="58"/>
  <c r="H46" i="58"/>
  <c r="J45" i="58"/>
  <c r="I45" i="58"/>
  <c r="H45" i="58"/>
  <c r="J44" i="58"/>
  <c r="I44" i="58"/>
  <c r="H44" i="58"/>
  <c r="J43" i="58"/>
  <c r="I43" i="58"/>
  <c r="H43" i="58"/>
  <c r="J42" i="58"/>
  <c r="I42" i="58"/>
  <c r="H42" i="58"/>
  <c r="J41" i="58"/>
  <c r="I41" i="58"/>
  <c r="H41" i="58"/>
  <c r="J40" i="58"/>
  <c r="I40" i="58"/>
  <c r="H40" i="58"/>
  <c r="J39" i="58"/>
  <c r="I39" i="58"/>
  <c r="H39" i="58"/>
  <c r="J38" i="58"/>
  <c r="I38" i="58"/>
  <c r="H38" i="58"/>
  <c r="J37" i="58"/>
  <c r="I37" i="58"/>
  <c r="H37" i="58"/>
  <c r="O36" i="58"/>
  <c r="N36" i="58"/>
  <c r="Q40" i="58" s="1"/>
  <c r="M36" i="58"/>
  <c r="J36" i="58"/>
  <c r="I36" i="58"/>
  <c r="Q39" i="58" s="1"/>
  <c r="H36" i="58"/>
  <c r="E36" i="58"/>
  <c r="D36" i="58"/>
  <c r="Q38" i="58" s="1"/>
  <c r="C36" i="58"/>
  <c r="E47" i="58"/>
  <c r="D47" i="58"/>
  <c r="C47" i="58"/>
  <c r="E46" i="58"/>
  <c r="D46" i="58"/>
  <c r="C46" i="58"/>
  <c r="E45" i="58"/>
  <c r="D45" i="58"/>
  <c r="C45" i="58"/>
  <c r="E44" i="58"/>
  <c r="D44" i="58"/>
  <c r="C44" i="58"/>
  <c r="E43" i="58"/>
  <c r="D43" i="58"/>
  <c r="C43" i="58"/>
  <c r="E42" i="58"/>
  <c r="D42" i="58"/>
  <c r="C42" i="58"/>
  <c r="E41" i="58"/>
  <c r="D41" i="58"/>
  <c r="C41" i="58"/>
  <c r="E40" i="58"/>
  <c r="D40" i="58"/>
  <c r="C40" i="58"/>
  <c r="E39" i="58"/>
  <c r="D39" i="58"/>
  <c r="C39" i="58"/>
  <c r="E38" i="58"/>
  <c r="D38" i="58"/>
  <c r="C38" i="58"/>
  <c r="E37" i="58"/>
  <c r="D37" i="58"/>
  <c r="C37" i="58"/>
  <c r="O9" i="58"/>
  <c r="M9" i="58"/>
  <c r="J9" i="58"/>
  <c r="H9" i="58"/>
  <c r="E9" i="58"/>
  <c r="C9" i="58"/>
  <c r="O20" i="58"/>
  <c r="O31" i="58" s="1"/>
  <c r="N20" i="58"/>
  <c r="N31" i="58" s="1"/>
  <c r="M20" i="58"/>
  <c r="M31" i="58" s="1"/>
  <c r="O19" i="58"/>
  <c r="O30" i="58" s="1"/>
  <c r="N19" i="58"/>
  <c r="N30" i="58" s="1"/>
  <c r="M19" i="58"/>
  <c r="M30" i="58" s="1"/>
  <c r="O18" i="58"/>
  <c r="O29" i="58" s="1"/>
  <c r="N18" i="58"/>
  <c r="N29" i="58" s="1"/>
  <c r="M18" i="58"/>
  <c r="M29" i="58" s="1"/>
  <c r="O17" i="58"/>
  <c r="O28" i="58" s="1"/>
  <c r="N17" i="58"/>
  <c r="N28" i="58" s="1"/>
  <c r="M17" i="58"/>
  <c r="M28" i="58" s="1"/>
  <c r="O16" i="58"/>
  <c r="O27" i="58" s="1"/>
  <c r="N16" i="58"/>
  <c r="N27" i="58" s="1"/>
  <c r="M16" i="58"/>
  <c r="M27" i="58" s="1"/>
  <c r="O15" i="58"/>
  <c r="O26" i="58" s="1"/>
  <c r="N15" i="58"/>
  <c r="N26" i="58" s="1"/>
  <c r="M15" i="58"/>
  <c r="M26" i="58" s="1"/>
  <c r="O14" i="58"/>
  <c r="O25" i="58" s="1"/>
  <c r="N14" i="58"/>
  <c r="N25" i="58" s="1"/>
  <c r="M14" i="58"/>
  <c r="M25" i="58" s="1"/>
  <c r="O13" i="58"/>
  <c r="O24" i="58" s="1"/>
  <c r="N13" i="58"/>
  <c r="N24" i="58" s="1"/>
  <c r="M13" i="58"/>
  <c r="M24" i="58" s="1"/>
  <c r="O12" i="58"/>
  <c r="O23" i="58" s="1"/>
  <c r="N12" i="58"/>
  <c r="N23" i="58" s="1"/>
  <c r="M12" i="58"/>
  <c r="M23" i="58" s="1"/>
  <c r="O11" i="58"/>
  <c r="O22" i="58" s="1"/>
  <c r="N11" i="58"/>
  <c r="N22" i="58" s="1"/>
  <c r="M11" i="58"/>
  <c r="M22" i="58" s="1"/>
  <c r="O10" i="58"/>
  <c r="N10" i="58"/>
  <c r="M10" i="58"/>
  <c r="J10" i="58"/>
  <c r="I10" i="58"/>
  <c r="H10" i="58"/>
  <c r="D10" i="58"/>
  <c r="E10" i="58"/>
  <c r="C10" i="58"/>
  <c r="C20" i="58"/>
  <c r="C19" i="58"/>
  <c r="C18" i="58"/>
  <c r="C17" i="58"/>
  <c r="C16" i="58"/>
  <c r="C15" i="58"/>
  <c r="C14" i="58"/>
  <c r="C13" i="58"/>
  <c r="C12" i="58"/>
  <c r="D11" i="58"/>
  <c r="C11" i="58"/>
  <c r="E11" i="58"/>
  <c r="E22" i="58" s="1"/>
  <c r="E23" i="58"/>
  <c r="E24" i="58"/>
  <c r="E25" i="58"/>
  <c r="E26" i="58"/>
  <c r="E27" i="58"/>
  <c r="E28" i="58"/>
  <c r="E29" i="58"/>
  <c r="E30" i="58"/>
  <c r="E31" i="58"/>
  <c r="J20" i="58"/>
  <c r="J31" i="58" s="1"/>
  <c r="I20" i="58"/>
  <c r="H20" i="58"/>
  <c r="J19" i="58"/>
  <c r="J30" i="58" s="1"/>
  <c r="I19" i="58"/>
  <c r="H19" i="58"/>
  <c r="J18" i="58"/>
  <c r="J29" i="58" s="1"/>
  <c r="I18" i="58"/>
  <c r="H18" i="58"/>
  <c r="J17" i="58"/>
  <c r="J28" i="58" s="1"/>
  <c r="I17" i="58"/>
  <c r="H17" i="58"/>
  <c r="J16" i="58"/>
  <c r="J27" i="58" s="1"/>
  <c r="I16" i="58"/>
  <c r="H16" i="58"/>
  <c r="J15" i="58"/>
  <c r="J26" i="58" s="1"/>
  <c r="I15" i="58"/>
  <c r="J14" i="58"/>
  <c r="J25" i="58" s="1"/>
  <c r="I14" i="58"/>
  <c r="I25" i="58" s="1"/>
  <c r="H14" i="58"/>
  <c r="J13" i="58"/>
  <c r="J24" i="58" s="1"/>
  <c r="I13" i="58"/>
  <c r="H13" i="58"/>
  <c r="J12" i="58"/>
  <c r="J23" i="58" s="1"/>
  <c r="I12" i="58"/>
  <c r="H12" i="58"/>
  <c r="J11" i="58"/>
  <c r="J22" i="58" s="1"/>
  <c r="I11" i="58"/>
  <c r="H11" i="58"/>
  <c r="H113" i="58"/>
  <c r="D113" i="58"/>
  <c r="H104" i="58"/>
  <c r="D104" i="58"/>
  <c r="H94" i="58"/>
  <c r="D94" i="58"/>
  <c r="H85" i="58"/>
  <c r="D85" i="58"/>
  <c r="M37" i="51" l="1"/>
  <c r="M36" i="51"/>
  <c r="O35" i="51"/>
  <c r="O37" i="51"/>
  <c r="O36" i="51"/>
  <c r="H75" i="58"/>
  <c r="L78" i="58" s="1"/>
  <c r="H78" i="58"/>
  <c r="H77" i="58"/>
  <c r="H76" i="58"/>
  <c r="O50" i="58"/>
  <c r="O48" i="58"/>
  <c r="G116" i="58"/>
  <c r="G118" i="58" s="1"/>
  <c r="G97" i="58"/>
  <c r="G99" i="58" s="1"/>
  <c r="I23" i="58"/>
  <c r="H23" i="58"/>
  <c r="I26" i="58"/>
  <c r="H27" i="58"/>
  <c r="I28" i="58"/>
  <c r="I24" i="58"/>
  <c r="H29" i="58"/>
  <c r="I29" i="58"/>
  <c r="H30" i="58"/>
  <c r="I30" i="58"/>
  <c r="H28" i="58"/>
  <c r="O53" i="58"/>
  <c r="E53" i="58"/>
  <c r="M48" i="58"/>
  <c r="O51" i="58"/>
  <c r="M51" i="58"/>
  <c r="N50" i="58"/>
  <c r="H26" i="58"/>
  <c r="C53" i="58"/>
  <c r="D50" i="58"/>
  <c r="J48" i="58"/>
  <c r="H50" i="58"/>
  <c r="C50" i="58"/>
  <c r="J51" i="58"/>
  <c r="J53" i="58"/>
  <c r="H53" i="58"/>
  <c r="H51" i="58"/>
  <c r="H25" i="58"/>
  <c r="M50" i="58"/>
  <c r="N48" i="58"/>
  <c r="N51" i="58"/>
  <c r="M53" i="58"/>
  <c r="H48" i="58"/>
  <c r="I48" i="58"/>
  <c r="I50" i="58"/>
  <c r="J50" i="58"/>
  <c r="I51" i="58"/>
  <c r="H24" i="58"/>
  <c r="I27" i="58"/>
  <c r="C48" i="58"/>
  <c r="C51" i="58"/>
  <c r="D51" i="58"/>
  <c r="D28" i="58"/>
  <c r="D48" i="58"/>
  <c r="I22" i="58"/>
  <c r="E50" i="58"/>
  <c r="E48" i="58"/>
  <c r="E51" i="58"/>
  <c r="H31" i="58"/>
  <c r="H22" i="58"/>
  <c r="I31" i="58"/>
  <c r="C30" i="58"/>
  <c r="C31" i="58"/>
  <c r="C28" i="58"/>
  <c r="C29" i="58"/>
  <c r="D22" i="58"/>
  <c r="C23" i="58"/>
  <c r="D23" i="58"/>
  <c r="C22" i="58"/>
  <c r="C24" i="58"/>
  <c r="C25" i="58"/>
  <c r="C26" i="58"/>
  <c r="C27" i="58"/>
  <c r="D27" i="58"/>
  <c r="D29" i="58"/>
  <c r="D30" i="58"/>
  <c r="D24" i="58"/>
  <c r="D26" i="58"/>
  <c r="D31" i="58"/>
  <c r="N75" i="58"/>
  <c r="L75" i="58"/>
  <c r="H32" i="58" l="1"/>
  <c r="H33" i="58" s="1"/>
  <c r="R13" i="58" s="1"/>
  <c r="C32" i="58"/>
  <c r="C33" i="58" s="1"/>
  <c r="R12" i="58" s="1"/>
  <c r="O52" i="58"/>
  <c r="D78" i="58"/>
  <c r="D79" i="58"/>
  <c r="D80" i="58"/>
  <c r="D77" i="58"/>
  <c r="D81" i="58"/>
  <c r="D76" i="58"/>
  <c r="L77" i="58"/>
  <c r="N56" i="58"/>
  <c r="D56" i="58"/>
  <c r="D57" i="58"/>
  <c r="N52" i="58"/>
  <c r="M49" i="58"/>
  <c r="M56" i="58" s="1"/>
  <c r="M32" i="58"/>
  <c r="M33" i="58" s="1"/>
  <c r="R14" i="58" s="1"/>
  <c r="C52" i="58"/>
  <c r="N57" i="58"/>
  <c r="H52" i="58"/>
  <c r="I57" i="58"/>
  <c r="J52" i="58"/>
  <c r="I56" i="58"/>
  <c r="I52" i="58"/>
  <c r="M52" i="58"/>
  <c r="D52" i="58"/>
  <c r="H49" i="58"/>
  <c r="H56" i="58" s="1"/>
  <c r="E52" i="58"/>
  <c r="C49" i="58"/>
  <c r="C56" i="58" s="1"/>
  <c r="D75" i="58"/>
  <c r="H80" i="58" l="1"/>
  <c r="L79" i="58" s="1"/>
  <c r="D58" i="58"/>
  <c r="O56" i="58"/>
  <c r="N58" i="58"/>
  <c r="I58" i="58"/>
  <c r="M57" i="58"/>
  <c r="O57" i="58" s="1"/>
  <c r="O62" i="58" s="1"/>
  <c r="O63" i="58" s="1"/>
  <c r="J56" i="58"/>
  <c r="H57" i="58"/>
  <c r="H58" i="58" s="1"/>
  <c r="C57" i="58"/>
  <c r="E57" i="58" s="1"/>
  <c r="E62" i="58" s="1"/>
  <c r="E63" i="58" s="1"/>
  <c r="E56" i="58"/>
  <c r="E64" i="58" l="1"/>
  <c r="E65" i="58" s="1"/>
  <c r="E67" i="58" s="1"/>
  <c r="R38" i="58" s="1"/>
  <c r="O64" i="58"/>
  <c r="M58" i="58"/>
  <c r="M60" i="58"/>
  <c r="O60" i="58" s="1"/>
  <c r="J57" i="58"/>
  <c r="J62" i="58" s="1"/>
  <c r="J63" i="58" s="1"/>
  <c r="C60" i="58"/>
  <c r="E60" i="58" s="1"/>
  <c r="C58" i="58"/>
  <c r="O65" i="58" l="1"/>
  <c r="O67" i="58" s="1"/>
  <c r="R40" i="58" s="1"/>
  <c r="J64" i="58"/>
  <c r="J65" i="58" s="1"/>
  <c r="J67" i="58" s="1"/>
  <c r="R39" i="58" s="1"/>
  <c r="H60" i="58"/>
  <c r="J60" i="58" s="1"/>
  <c r="L263" i="51" l="1"/>
  <c r="Q263" i="51" s="1"/>
  <c r="D208" i="59" s="1"/>
  <c r="L262" i="51"/>
  <c r="Q262" i="51" s="1"/>
  <c r="D207" i="59" s="1"/>
  <c r="L261" i="51"/>
  <c r="L260" i="51"/>
  <c r="L259" i="51"/>
  <c r="L258" i="51"/>
  <c r="Q258" i="51" s="1"/>
  <c r="D203" i="59" s="1"/>
  <c r="L257" i="51"/>
  <c r="L256" i="51"/>
  <c r="L255" i="51"/>
  <c r="Q255" i="51" s="1"/>
  <c r="D200" i="59" s="1"/>
  <c r="L254" i="51"/>
  <c r="Q254" i="51" s="1"/>
  <c r="D199" i="59" s="1"/>
  <c r="L253" i="51"/>
  <c r="L252" i="51"/>
  <c r="L251" i="51"/>
  <c r="L250" i="51"/>
  <c r="Q250" i="51" s="1"/>
  <c r="D195" i="59" s="1"/>
  <c r="L249" i="51"/>
  <c r="L248" i="51"/>
  <c r="L247" i="51"/>
  <c r="Q247" i="51" s="1"/>
  <c r="D192" i="59" s="1"/>
  <c r="L246" i="51"/>
  <c r="Q246" i="51" s="1"/>
  <c r="D191" i="59" s="1"/>
  <c r="L245" i="51"/>
  <c r="L244" i="51"/>
  <c r="L243" i="51"/>
  <c r="L242" i="51"/>
  <c r="L240" i="51"/>
  <c r="L239" i="51"/>
  <c r="L238" i="51"/>
  <c r="Q238" i="51" s="1"/>
  <c r="D186" i="59" s="1"/>
  <c r="L237" i="51"/>
  <c r="Q237" i="51" s="1"/>
  <c r="D185" i="59" s="1"/>
  <c r="L236" i="51"/>
  <c r="L235" i="51"/>
  <c r="L234" i="51"/>
  <c r="L233" i="51"/>
  <c r="Q233" i="51" s="1"/>
  <c r="D181" i="59" s="1"/>
  <c r="L232" i="51"/>
  <c r="L231" i="51"/>
  <c r="L230" i="51"/>
  <c r="Q230" i="51" s="1"/>
  <c r="D178" i="59" s="1"/>
  <c r="L229" i="51"/>
  <c r="Q229" i="51" s="1"/>
  <c r="D177" i="59" s="1"/>
  <c r="L228" i="51"/>
  <c r="L227" i="51"/>
  <c r="L226" i="51"/>
  <c r="L225" i="51"/>
  <c r="Q225" i="51" s="1"/>
  <c r="D173" i="59" s="1"/>
  <c r="L224" i="51"/>
  <c r="L223" i="51"/>
  <c r="L222" i="51"/>
  <c r="Q222" i="51" s="1"/>
  <c r="D170" i="59" s="1"/>
  <c r="L221" i="51"/>
  <c r="Q221" i="51" s="1"/>
  <c r="D169" i="59" s="1"/>
  <c r="L220" i="51"/>
  <c r="L219" i="51"/>
  <c r="L217" i="51"/>
  <c r="L216" i="51"/>
  <c r="Q216" i="51" s="1"/>
  <c r="D167" i="59" s="1"/>
  <c r="L215" i="51"/>
  <c r="L214" i="51"/>
  <c r="L213" i="51"/>
  <c r="Q213" i="51" s="1"/>
  <c r="D164" i="59" s="1"/>
  <c r="L212" i="51"/>
  <c r="Q212" i="51" s="1"/>
  <c r="D163" i="59" s="1"/>
  <c r="L211" i="51"/>
  <c r="L210" i="51"/>
  <c r="L209" i="51"/>
  <c r="L208" i="51"/>
  <c r="Q208" i="51" s="1"/>
  <c r="D159" i="59" s="1"/>
  <c r="L207" i="51"/>
  <c r="L206" i="51"/>
  <c r="L205" i="51"/>
  <c r="Q205" i="51" s="1"/>
  <c r="D156" i="59" s="1"/>
  <c r="L204" i="51"/>
  <c r="Q204" i="51" s="1"/>
  <c r="D155" i="59" s="1"/>
  <c r="L203" i="51"/>
  <c r="L202" i="51"/>
  <c r="L201" i="51"/>
  <c r="L200" i="51"/>
  <c r="Q200" i="51" s="1"/>
  <c r="D151" i="59" s="1"/>
  <c r="L199" i="51"/>
  <c r="L198" i="51"/>
  <c r="L197" i="51"/>
  <c r="Q197" i="51" s="1"/>
  <c r="L196" i="51"/>
  <c r="L193" i="51"/>
  <c r="L192" i="51"/>
  <c r="L191" i="51"/>
  <c r="L190" i="51"/>
  <c r="Q190" i="51" s="1"/>
  <c r="D144" i="59" s="1"/>
  <c r="L189" i="51"/>
  <c r="L188" i="51"/>
  <c r="L187" i="51"/>
  <c r="Q187" i="51" s="1"/>
  <c r="D141" i="59" s="1"/>
  <c r="L173" i="51"/>
  <c r="L148" i="51"/>
  <c r="L147" i="51"/>
  <c r="L146" i="51"/>
  <c r="L145" i="51"/>
  <c r="Q145" i="51" s="1"/>
  <c r="D105" i="59" s="1"/>
  <c r="L144" i="51"/>
  <c r="L143" i="51"/>
  <c r="L142" i="51"/>
  <c r="Q142" i="51" s="1"/>
  <c r="D102" i="59" s="1"/>
  <c r="L141" i="51"/>
  <c r="Q141" i="51" s="1"/>
  <c r="D101" i="59" s="1"/>
  <c r="L140" i="51"/>
  <c r="L139" i="51"/>
  <c r="L138" i="51"/>
  <c r="L137" i="51"/>
  <c r="Q137" i="51" s="1"/>
  <c r="D97" i="59" s="1"/>
  <c r="L136" i="51"/>
  <c r="L135" i="51"/>
  <c r="L134" i="51"/>
  <c r="Q134" i="51" s="1"/>
  <c r="D94" i="59" s="1"/>
  <c r="L133" i="51"/>
  <c r="Q133" i="51" s="1"/>
  <c r="D93" i="59" s="1"/>
  <c r="L132" i="51"/>
  <c r="L131" i="51"/>
  <c r="L130" i="51"/>
  <c r="L129" i="51"/>
  <c r="Q129" i="51" s="1"/>
  <c r="D89" i="59" s="1"/>
  <c r="L128" i="51"/>
  <c r="L127" i="51"/>
  <c r="L125" i="51"/>
  <c r="Q125" i="51" s="1"/>
  <c r="D88" i="59" s="1"/>
  <c r="L124" i="51"/>
  <c r="Q124" i="51" s="1"/>
  <c r="D87" i="59" s="1"/>
  <c r="L123" i="51"/>
  <c r="L122" i="51"/>
  <c r="L121" i="51"/>
  <c r="L120" i="51"/>
  <c r="Q120" i="51" s="1"/>
  <c r="D83" i="59" s="1"/>
  <c r="L119" i="51"/>
  <c r="L118" i="51"/>
  <c r="L117" i="51"/>
  <c r="Q117" i="51" s="1"/>
  <c r="D80" i="59" s="1"/>
  <c r="L116" i="51"/>
  <c r="Q116" i="51" s="1"/>
  <c r="D79" i="59" s="1"/>
  <c r="L115" i="51"/>
  <c r="L114" i="51"/>
  <c r="L113" i="51"/>
  <c r="L112" i="51"/>
  <c r="Q112" i="51" s="1"/>
  <c r="D75" i="59" s="1"/>
  <c r="L111" i="51"/>
  <c r="L110" i="51"/>
  <c r="L109" i="51"/>
  <c r="Q109" i="51" s="1"/>
  <c r="D72" i="59" s="1"/>
  <c r="L108" i="51"/>
  <c r="Q108" i="51" s="1"/>
  <c r="D71" i="59" s="1"/>
  <c r="L107" i="51"/>
  <c r="L106" i="51"/>
  <c r="L105" i="51"/>
  <c r="L104" i="51"/>
  <c r="L102" i="51"/>
  <c r="L101" i="51"/>
  <c r="L100" i="51"/>
  <c r="Q100" i="51" s="1"/>
  <c r="D66" i="59" s="1"/>
  <c r="L99" i="51"/>
  <c r="Q99" i="51" s="1"/>
  <c r="D65" i="59" s="1"/>
  <c r="L98" i="51"/>
  <c r="L97" i="51"/>
  <c r="L96" i="51"/>
  <c r="L95" i="51"/>
  <c r="Q95" i="51" s="1"/>
  <c r="D61" i="59" s="1"/>
  <c r="L94" i="51"/>
  <c r="L93" i="51"/>
  <c r="L92" i="51"/>
  <c r="Q92" i="51" s="1"/>
  <c r="D58" i="59" s="1"/>
  <c r="L91" i="51"/>
  <c r="Q91" i="51" s="1"/>
  <c r="D57" i="59" s="1"/>
  <c r="L90" i="51"/>
  <c r="L89" i="51"/>
  <c r="L88" i="51"/>
  <c r="L87" i="51"/>
  <c r="Q87" i="51" s="1"/>
  <c r="D53" i="59" s="1"/>
  <c r="L86" i="51"/>
  <c r="L85" i="51"/>
  <c r="L84" i="51"/>
  <c r="Q84" i="51" s="1"/>
  <c r="D50" i="59" s="1"/>
  <c r="L83" i="51"/>
  <c r="Q83" i="51" s="1"/>
  <c r="D49" i="59" s="1"/>
  <c r="L82" i="51"/>
  <c r="L81" i="51"/>
  <c r="L78" i="51"/>
  <c r="L77" i="51"/>
  <c r="Q77" i="51" s="1"/>
  <c r="D46" i="59" s="1"/>
  <c r="L76" i="51"/>
  <c r="L75" i="51"/>
  <c r="L74" i="51"/>
  <c r="Q74" i="51" s="1"/>
  <c r="D43" i="59" s="1"/>
  <c r="L73" i="51"/>
  <c r="Q73" i="51" s="1"/>
  <c r="D42" i="59" s="1"/>
  <c r="L72" i="51"/>
  <c r="L58" i="51"/>
  <c r="Q261" i="51"/>
  <c r="D206" i="59" s="1"/>
  <c r="Q260" i="51"/>
  <c r="D205" i="59" s="1"/>
  <c r="Q259" i="51"/>
  <c r="D204" i="59" s="1"/>
  <c r="Q257" i="51"/>
  <c r="D202" i="59" s="1"/>
  <c r="Q256" i="51"/>
  <c r="D201" i="59" s="1"/>
  <c r="Q253" i="51"/>
  <c r="D198" i="59" s="1"/>
  <c r="Q252" i="51"/>
  <c r="D197" i="59" s="1"/>
  <c r="Q251" i="51"/>
  <c r="D196" i="59" s="1"/>
  <c r="Q249" i="51"/>
  <c r="D194" i="59" s="1"/>
  <c r="Q248" i="51"/>
  <c r="D193" i="59" s="1"/>
  <c r="Q245" i="51"/>
  <c r="D190" i="59" s="1"/>
  <c r="Q244" i="51"/>
  <c r="D189" i="59" s="1"/>
  <c r="Q243" i="51"/>
  <c r="Q240" i="51"/>
  <c r="D188" i="59" s="1"/>
  <c r="Q239" i="51"/>
  <c r="D187" i="59" s="1"/>
  <c r="Q236" i="51"/>
  <c r="D184" i="59" s="1"/>
  <c r="Q235" i="51"/>
  <c r="D183" i="59" s="1"/>
  <c r="Q234" i="51"/>
  <c r="D182" i="59" s="1"/>
  <c r="Q232" i="51"/>
  <c r="D180" i="59" s="1"/>
  <c r="Q231" i="51"/>
  <c r="D179" i="59" s="1"/>
  <c r="Q228" i="51"/>
  <c r="D176" i="59" s="1"/>
  <c r="Q227" i="51"/>
  <c r="D175" i="59" s="1"/>
  <c r="Q226" i="51"/>
  <c r="D174" i="59" s="1"/>
  <c r="Q224" i="51"/>
  <c r="D172" i="59" s="1"/>
  <c r="Q223" i="51"/>
  <c r="D171" i="59" s="1"/>
  <c r="Q220" i="51"/>
  <c r="Q217" i="51"/>
  <c r="D168" i="59" s="1"/>
  <c r="Q215" i="51"/>
  <c r="D166" i="59" s="1"/>
  <c r="Q214" i="51"/>
  <c r="D165" i="59" s="1"/>
  <c r="Q211" i="51"/>
  <c r="D162" i="59" s="1"/>
  <c r="Q210" i="51"/>
  <c r="D161" i="59" s="1"/>
  <c r="Q209" i="51"/>
  <c r="D160" i="59" s="1"/>
  <c r="Q207" i="51"/>
  <c r="D158" i="59" s="1"/>
  <c r="Q206" i="51"/>
  <c r="D157" i="59" s="1"/>
  <c r="Q203" i="51"/>
  <c r="D154" i="59" s="1"/>
  <c r="Q202" i="51"/>
  <c r="D153" i="59" s="1"/>
  <c r="Q201" i="51"/>
  <c r="D152" i="59" s="1"/>
  <c r="Q199" i="51"/>
  <c r="D150" i="59" s="1"/>
  <c r="Q198" i="51"/>
  <c r="D149" i="59" s="1"/>
  <c r="Q193" i="51"/>
  <c r="D147" i="59" s="1"/>
  <c r="Q192" i="51"/>
  <c r="D146" i="59" s="1"/>
  <c r="Q191" i="51"/>
  <c r="D145" i="59" s="1"/>
  <c r="Q189" i="51"/>
  <c r="D143" i="59" s="1"/>
  <c r="Q188" i="51"/>
  <c r="D142" i="59" s="1"/>
  <c r="Q148" i="51"/>
  <c r="D108" i="59" s="1"/>
  <c r="Q147" i="51"/>
  <c r="D107" i="59" s="1"/>
  <c r="Q146" i="51"/>
  <c r="D106" i="59" s="1"/>
  <c r="Q144" i="51"/>
  <c r="D104" i="59" s="1"/>
  <c r="Q143" i="51"/>
  <c r="D103" i="59" s="1"/>
  <c r="Q140" i="51"/>
  <c r="D100" i="59" s="1"/>
  <c r="Q139" i="51"/>
  <c r="D99" i="59" s="1"/>
  <c r="Q138" i="51"/>
  <c r="D98" i="59" s="1"/>
  <c r="Q136" i="51"/>
  <c r="D96" i="59" s="1"/>
  <c r="Q135" i="51"/>
  <c r="D95" i="59" s="1"/>
  <c r="Q132" i="51"/>
  <c r="D92" i="59" s="1"/>
  <c r="Q131" i="51"/>
  <c r="D91" i="59" s="1"/>
  <c r="Q130" i="51"/>
  <c r="D90" i="59" s="1"/>
  <c r="Q128" i="51"/>
  <c r="Q123" i="51"/>
  <c r="D86" i="59" s="1"/>
  <c r="Q122" i="51"/>
  <c r="D85" i="59" s="1"/>
  <c r="Q121" i="51"/>
  <c r="D84" i="59" s="1"/>
  <c r="Q119" i="51"/>
  <c r="D82" i="59" s="1"/>
  <c r="Q118" i="51"/>
  <c r="D81" i="59" s="1"/>
  <c r="Q115" i="51"/>
  <c r="D78" i="59" s="1"/>
  <c r="Q114" i="51"/>
  <c r="D77" i="59" s="1"/>
  <c r="Q113" i="51"/>
  <c r="D76" i="59" s="1"/>
  <c r="Q111" i="51"/>
  <c r="D74" i="59" s="1"/>
  <c r="Q110" i="51"/>
  <c r="D73" i="59" s="1"/>
  <c r="Q107" i="51"/>
  <c r="D70" i="59" s="1"/>
  <c r="Q106" i="51"/>
  <c r="D69" i="59" s="1"/>
  <c r="Q105" i="51"/>
  <c r="Q102" i="51"/>
  <c r="D68" i="59" s="1"/>
  <c r="Q101" i="51"/>
  <c r="D67" i="59" s="1"/>
  <c r="Q98" i="51"/>
  <c r="D64" i="59" s="1"/>
  <c r="Q97" i="51"/>
  <c r="D63" i="59" s="1"/>
  <c r="Q96" i="51"/>
  <c r="D62" i="59" s="1"/>
  <c r="Q94" i="51"/>
  <c r="D60" i="59" s="1"/>
  <c r="Q93" i="51"/>
  <c r="D59" i="59" s="1"/>
  <c r="Q90" i="51"/>
  <c r="D56" i="59" s="1"/>
  <c r="Q89" i="51"/>
  <c r="D55" i="59" s="1"/>
  <c r="Q88" i="51"/>
  <c r="D54" i="59" s="1"/>
  <c r="Q86" i="51"/>
  <c r="D52" i="59" s="1"/>
  <c r="Q85" i="51"/>
  <c r="D51" i="59" s="1"/>
  <c r="Q82" i="51"/>
  <c r="Q78" i="51"/>
  <c r="D47" i="59" s="1"/>
  <c r="Q76" i="51"/>
  <c r="D45" i="59" s="1"/>
  <c r="Q75" i="51"/>
  <c r="D44" i="59" s="1"/>
  <c r="Q72" i="51"/>
  <c r="D41" i="59" s="1"/>
  <c r="B263" i="51"/>
  <c r="A208" i="59" s="1"/>
  <c r="B262" i="51"/>
  <c r="A207" i="59" s="1"/>
  <c r="B261" i="51"/>
  <c r="A206" i="59" s="1"/>
  <c r="B260" i="51"/>
  <c r="A205" i="59" s="1"/>
  <c r="B259" i="51"/>
  <c r="A204" i="59" s="1"/>
  <c r="B258" i="51"/>
  <c r="A203" i="59" s="1"/>
  <c r="B257" i="51"/>
  <c r="A202" i="59" s="1"/>
  <c r="B256" i="51"/>
  <c r="A201" i="59" s="1"/>
  <c r="B255" i="51"/>
  <c r="A200" i="59" s="1"/>
  <c r="B254" i="51"/>
  <c r="A199" i="59" s="1"/>
  <c r="B253" i="51"/>
  <c r="A198" i="59" s="1"/>
  <c r="B252" i="51"/>
  <c r="A197" i="59" s="1"/>
  <c r="B251" i="51"/>
  <c r="A196" i="59" s="1"/>
  <c r="B250" i="51"/>
  <c r="A195" i="59" s="1"/>
  <c r="B249" i="51"/>
  <c r="A194" i="59" s="1"/>
  <c r="B248" i="51"/>
  <c r="A193" i="59" s="1"/>
  <c r="B247" i="51"/>
  <c r="A192" i="59" s="1"/>
  <c r="B246" i="51"/>
  <c r="A191" i="59" s="1"/>
  <c r="B245" i="51"/>
  <c r="A190" i="59" s="1"/>
  <c r="B244" i="51"/>
  <c r="A189" i="59" s="1"/>
  <c r="B240" i="51"/>
  <c r="A188" i="59" s="1"/>
  <c r="B239" i="51"/>
  <c r="A187" i="59" s="1"/>
  <c r="B238" i="51"/>
  <c r="A186" i="59" s="1"/>
  <c r="B237" i="51"/>
  <c r="A185" i="59" s="1"/>
  <c r="B236" i="51"/>
  <c r="A184" i="59" s="1"/>
  <c r="B235" i="51"/>
  <c r="A183" i="59" s="1"/>
  <c r="B234" i="51"/>
  <c r="A182" i="59" s="1"/>
  <c r="B233" i="51"/>
  <c r="A181" i="59" s="1"/>
  <c r="B232" i="51"/>
  <c r="A180" i="59" s="1"/>
  <c r="B231" i="51"/>
  <c r="A179" i="59" s="1"/>
  <c r="B230" i="51"/>
  <c r="A178" i="59" s="1"/>
  <c r="B229" i="51"/>
  <c r="A177" i="59" s="1"/>
  <c r="B228" i="51"/>
  <c r="A176" i="59" s="1"/>
  <c r="B227" i="51"/>
  <c r="A175" i="59" s="1"/>
  <c r="B226" i="51"/>
  <c r="A174" i="59" s="1"/>
  <c r="B225" i="51"/>
  <c r="A173" i="59" s="1"/>
  <c r="B224" i="51"/>
  <c r="A172" i="59" s="1"/>
  <c r="B223" i="51"/>
  <c r="A171" i="59" s="1"/>
  <c r="B222" i="51"/>
  <c r="A170" i="59" s="1"/>
  <c r="B221" i="51"/>
  <c r="A169" i="59" s="1"/>
  <c r="B217" i="51"/>
  <c r="A168" i="59" s="1"/>
  <c r="B216" i="51"/>
  <c r="A167" i="59" s="1"/>
  <c r="B215" i="51"/>
  <c r="A166" i="59" s="1"/>
  <c r="B214" i="51"/>
  <c r="A165" i="59" s="1"/>
  <c r="B213" i="51"/>
  <c r="A164" i="59" s="1"/>
  <c r="B212" i="51"/>
  <c r="A163" i="59" s="1"/>
  <c r="B211" i="51"/>
  <c r="A162" i="59" s="1"/>
  <c r="B210" i="51"/>
  <c r="A161" i="59" s="1"/>
  <c r="B209" i="51"/>
  <c r="A160" i="59" s="1"/>
  <c r="B208" i="51"/>
  <c r="A159" i="59" s="1"/>
  <c r="B207" i="51"/>
  <c r="A158" i="59" s="1"/>
  <c r="B206" i="51"/>
  <c r="A157" i="59" s="1"/>
  <c r="B205" i="51"/>
  <c r="A156" i="59" s="1"/>
  <c r="B204" i="51"/>
  <c r="A155" i="59" s="1"/>
  <c r="B203" i="51"/>
  <c r="A154" i="59" s="1"/>
  <c r="B202" i="51"/>
  <c r="A153" i="59" s="1"/>
  <c r="B201" i="51"/>
  <c r="A152" i="59" s="1"/>
  <c r="B200" i="51"/>
  <c r="A151" i="59" s="1"/>
  <c r="B199" i="51"/>
  <c r="A150" i="59" s="1"/>
  <c r="B198" i="51"/>
  <c r="A149" i="59" s="1"/>
  <c r="B194" i="51"/>
  <c r="A148" i="59" s="1"/>
  <c r="B193" i="51"/>
  <c r="A147" i="59" s="1"/>
  <c r="B192" i="51"/>
  <c r="A146" i="59" s="1"/>
  <c r="B191" i="51"/>
  <c r="A145" i="59" s="1"/>
  <c r="B190" i="51"/>
  <c r="A144" i="59" s="1"/>
  <c r="B189" i="51"/>
  <c r="A143" i="59" s="1"/>
  <c r="B188" i="51"/>
  <c r="A142" i="59" s="1"/>
  <c r="B187" i="51"/>
  <c r="A141" i="59" s="1"/>
  <c r="B186" i="51"/>
  <c r="A140" i="59" s="1"/>
  <c r="B185" i="51"/>
  <c r="A139" i="59" s="1"/>
  <c r="B184" i="51"/>
  <c r="A138" i="59" s="1"/>
  <c r="B183" i="51"/>
  <c r="A137" i="59" s="1"/>
  <c r="B182" i="51"/>
  <c r="A136" i="59" s="1"/>
  <c r="B181" i="51"/>
  <c r="A135" i="59" s="1"/>
  <c r="B180" i="51"/>
  <c r="A134" i="59" s="1"/>
  <c r="B179" i="51"/>
  <c r="A133" i="59" s="1"/>
  <c r="B178" i="51"/>
  <c r="A132" i="59" s="1"/>
  <c r="B177" i="51"/>
  <c r="A131" i="59" s="1"/>
  <c r="B176" i="51"/>
  <c r="A130" i="59" s="1"/>
  <c r="B175" i="51"/>
  <c r="A129" i="59" s="1"/>
  <c r="B171" i="51"/>
  <c r="A128" i="59" s="1"/>
  <c r="B170" i="51"/>
  <c r="A127" i="59" s="1"/>
  <c r="B169" i="51"/>
  <c r="A126" i="59" s="1"/>
  <c r="B168" i="51"/>
  <c r="A125" i="59" s="1"/>
  <c r="B167" i="51"/>
  <c r="A124" i="59" s="1"/>
  <c r="B166" i="51"/>
  <c r="A123" i="59" s="1"/>
  <c r="B165" i="51"/>
  <c r="A122" i="59" s="1"/>
  <c r="B164" i="51"/>
  <c r="A121" i="59" s="1"/>
  <c r="B163" i="51"/>
  <c r="A120" i="59" s="1"/>
  <c r="B162" i="51"/>
  <c r="A119" i="59" s="1"/>
  <c r="B161" i="51"/>
  <c r="A118" i="59" s="1"/>
  <c r="B160" i="51"/>
  <c r="A117" i="59" s="1"/>
  <c r="B159" i="51"/>
  <c r="A116" i="59" s="1"/>
  <c r="B158" i="51"/>
  <c r="A115" i="59" s="1"/>
  <c r="B157" i="51"/>
  <c r="A114" i="59" s="1"/>
  <c r="B156" i="51"/>
  <c r="A113" i="59" s="1"/>
  <c r="B155" i="51"/>
  <c r="A112" i="59" s="1"/>
  <c r="B154" i="51"/>
  <c r="A111" i="59" s="1"/>
  <c r="B153" i="51"/>
  <c r="A110" i="59" s="1"/>
  <c r="B152" i="51"/>
  <c r="A109" i="59" s="1"/>
  <c r="B56" i="51"/>
  <c r="A28" i="59" s="1"/>
  <c r="B55" i="51"/>
  <c r="A27" i="59" s="1"/>
  <c r="B54" i="51"/>
  <c r="A26" i="59" s="1"/>
  <c r="B53" i="51"/>
  <c r="A25" i="59" s="1"/>
  <c r="B52" i="51"/>
  <c r="A24" i="59" s="1"/>
  <c r="B51" i="51"/>
  <c r="A23" i="59" s="1"/>
  <c r="B50" i="51"/>
  <c r="A22" i="59" s="1"/>
  <c r="B49" i="51"/>
  <c r="A21" i="59" s="1"/>
  <c r="B48" i="51"/>
  <c r="A20" i="59" s="1"/>
  <c r="B47" i="51"/>
  <c r="A19" i="59" s="1"/>
  <c r="B46" i="51"/>
  <c r="A18" i="59" s="1"/>
  <c r="B45" i="51"/>
  <c r="A17" i="59" s="1"/>
  <c r="B44" i="51"/>
  <c r="A16" i="59" s="1"/>
  <c r="B43" i="51"/>
  <c r="A15" i="59" s="1"/>
  <c r="B42" i="51"/>
  <c r="A14" i="59" s="1"/>
  <c r="B41" i="51"/>
  <c r="A13" i="59" s="1"/>
  <c r="B40" i="51"/>
  <c r="A12" i="59" s="1"/>
  <c r="B39" i="51"/>
  <c r="A11" i="59" s="1"/>
  <c r="B38" i="51"/>
  <c r="A10" i="59" s="1"/>
  <c r="B37" i="51"/>
  <c r="A9" i="59" s="1"/>
  <c r="B148" i="51"/>
  <c r="A108" i="59" s="1"/>
  <c r="B147" i="51"/>
  <c r="A107" i="59" s="1"/>
  <c r="B146" i="51"/>
  <c r="A106" i="59" s="1"/>
  <c r="B145" i="51"/>
  <c r="A105" i="59" s="1"/>
  <c r="B144" i="51"/>
  <c r="A104" i="59" s="1"/>
  <c r="B143" i="51"/>
  <c r="A103" i="59" s="1"/>
  <c r="B142" i="51"/>
  <c r="A102" i="59" s="1"/>
  <c r="B141" i="51"/>
  <c r="A101" i="59" s="1"/>
  <c r="B140" i="51"/>
  <c r="A100" i="59" s="1"/>
  <c r="B139" i="51"/>
  <c r="A99" i="59" s="1"/>
  <c r="B138" i="51"/>
  <c r="A98" i="59" s="1"/>
  <c r="B137" i="51"/>
  <c r="A97" i="59" s="1"/>
  <c r="B136" i="51"/>
  <c r="A96" i="59" s="1"/>
  <c r="B135" i="51"/>
  <c r="A95" i="59" s="1"/>
  <c r="B134" i="51"/>
  <c r="A94" i="59" s="1"/>
  <c r="B133" i="51"/>
  <c r="A93" i="59" s="1"/>
  <c r="B132" i="51"/>
  <c r="A92" i="59" s="1"/>
  <c r="B131" i="51"/>
  <c r="A91" i="59" s="1"/>
  <c r="B130" i="51"/>
  <c r="A90" i="59" s="1"/>
  <c r="B129" i="51"/>
  <c r="A89" i="59" s="1"/>
  <c r="B125" i="51"/>
  <c r="A88" i="59" s="1"/>
  <c r="B124" i="51"/>
  <c r="A87" i="59" s="1"/>
  <c r="B123" i="51"/>
  <c r="A86" i="59" s="1"/>
  <c r="B122" i="51"/>
  <c r="A85" i="59" s="1"/>
  <c r="B121" i="51"/>
  <c r="A84" i="59" s="1"/>
  <c r="B120" i="51"/>
  <c r="A83" i="59" s="1"/>
  <c r="B119" i="51"/>
  <c r="A82" i="59" s="1"/>
  <c r="B118" i="51"/>
  <c r="A81" i="59" s="1"/>
  <c r="B117" i="51"/>
  <c r="A80" i="59" s="1"/>
  <c r="B116" i="51"/>
  <c r="A79" i="59" s="1"/>
  <c r="B115" i="51"/>
  <c r="A78" i="59" s="1"/>
  <c r="B114" i="51"/>
  <c r="A77" i="59" s="1"/>
  <c r="B113" i="51"/>
  <c r="A76" i="59" s="1"/>
  <c r="B112" i="51"/>
  <c r="A75" i="59" s="1"/>
  <c r="B111" i="51"/>
  <c r="A74" i="59" s="1"/>
  <c r="B110" i="51"/>
  <c r="A73" i="59" s="1"/>
  <c r="B109" i="51"/>
  <c r="A72" i="59" s="1"/>
  <c r="B108" i="51"/>
  <c r="A71" i="59" s="1"/>
  <c r="B107" i="51"/>
  <c r="A70" i="59" s="1"/>
  <c r="B106" i="51"/>
  <c r="A69" i="59" s="1"/>
  <c r="B102" i="51"/>
  <c r="A68" i="59" s="1"/>
  <c r="B101" i="51"/>
  <c r="A67" i="59" s="1"/>
  <c r="B100" i="51"/>
  <c r="A66" i="59" s="1"/>
  <c r="B99" i="51"/>
  <c r="A65" i="59" s="1"/>
  <c r="B98" i="51"/>
  <c r="A64" i="59" s="1"/>
  <c r="B97" i="51"/>
  <c r="A63" i="59" s="1"/>
  <c r="B96" i="51"/>
  <c r="A62" i="59" s="1"/>
  <c r="B95" i="51"/>
  <c r="A61" i="59" s="1"/>
  <c r="B94" i="51"/>
  <c r="A60" i="59" s="1"/>
  <c r="B93" i="51"/>
  <c r="A59" i="59" s="1"/>
  <c r="B92" i="51"/>
  <c r="A58" i="59" s="1"/>
  <c r="B91" i="51"/>
  <c r="A57" i="59" s="1"/>
  <c r="B90" i="51"/>
  <c r="A56" i="59" s="1"/>
  <c r="B89" i="51"/>
  <c r="A55" i="59" s="1"/>
  <c r="B88" i="51"/>
  <c r="A54" i="59" s="1"/>
  <c r="B87" i="51"/>
  <c r="A53" i="59" s="1"/>
  <c r="B86" i="51"/>
  <c r="A52" i="59" s="1"/>
  <c r="B85" i="51"/>
  <c r="A51" i="59" s="1"/>
  <c r="B84" i="51"/>
  <c r="A50" i="59" s="1"/>
  <c r="B83" i="51"/>
  <c r="A49" i="59" s="1"/>
  <c r="B60" i="51"/>
  <c r="A29" i="59" s="1"/>
  <c r="B61" i="51"/>
  <c r="A30" i="59" s="1"/>
  <c r="B62" i="51"/>
  <c r="A31" i="59" s="1"/>
  <c r="B63" i="51"/>
  <c r="A32" i="59" s="1"/>
  <c r="B64" i="51"/>
  <c r="A33" i="59" s="1"/>
  <c r="B65" i="51"/>
  <c r="A34" i="59" s="1"/>
  <c r="B66" i="51"/>
  <c r="A35" i="59" s="1"/>
  <c r="B67" i="51"/>
  <c r="A36" i="59" s="1"/>
  <c r="B68" i="51"/>
  <c r="A37" i="59" s="1"/>
  <c r="B69" i="51"/>
  <c r="A38" i="59" s="1"/>
  <c r="B70" i="51"/>
  <c r="A39" i="59" s="1"/>
  <c r="B71" i="51"/>
  <c r="A40" i="59" s="1"/>
  <c r="B72" i="51"/>
  <c r="A41" i="59" s="1"/>
  <c r="B73" i="51"/>
  <c r="A42" i="59" s="1"/>
  <c r="B74" i="51"/>
  <c r="A43" i="59" s="1"/>
  <c r="B75" i="51"/>
  <c r="A44" i="59" s="1"/>
  <c r="B76" i="51"/>
  <c r="A45" i="59" s="1"/>
  <c r="B77" i="51"/>
  <c r="A46" i="59" s="1"/>
  <c r="B78" i="51"/>
  <c r="A47" i="59" s="1"/>
  <c r="B79" i="51"/>
  <c r="A48" i="59" s="1"/>
  <c r="AF19" i="51"/>
  <c r="AF18" i="51"/>
  <c r="AE19" i="51"/>
  <c r="AE18" i="51"/>
  <c r="T197" i="51" l="1"/>
  <c r="U197" i="51" s="1"/>
  <c r="T128" i="51"/>
  <c r="U128" i="51" s="1"/>
  <c r="T105" i="51"/>
  <c r="U105" i="51" s="1"/>
  <c r="T243" i="51"/>
  <c r="U243" i="51" s="1"/>
  <c r="T82" i="51"/>
  <c r="U82" i="51" s="1"/>
  <c r="T220" i="51"/>
  <c r="U220" i="51" s="1"/>
  <c r="D127" i="58"/>
  <c r="E128" i="58"/>
  <c r="F129" i="58"/>
  <c r="B133" i="58"/>
  <c r="C134" i="58"/>
  <c r="D135" i="58"/>
  <c r="E136" i="58"/>
  <c r="D137" i="58"/>
  <c r="D138" i="58"/>
  <c r="D139" i="58"/>
  <c r="E140" i="58"/>
  <c r="F141" i="58"/>
  <c r="B145" i="58"/>
  <c r="C146" i="58"/>
  <c r="D147" i="58"/>
  <c r="E148" i="58"/>
  <c r="E149" i="58"/>
  <c r="F150" i="58"/>
  <c r="B154" i="58"/>
  <c r="C155" i="58"/>
  <c r="D156" i="58"/>
  <c r="D157" i="58"/>
  <c r="E158" i="58"/>
  <c r="E159" i="58"/>
  <c r="F160" i="58"/>
  <c r="F161" i="58"/>
  <c r="G162" i="58"/>
  <c r="H163" i="58"/>
  <c r="B165" i="58"/>
  <c r="C166" i="58"/>
  <c r="D167" i="58"/>
  <c r="E168" i="58"/>
  <c r="F169" i="58"/>
  <c r="G170" i="58"/>
  <c r="H171" i="58"/>
  <c r="B176" i="58"/>
  <c r="C177" i="58"/>
  <c r="D178" i="58"/>
  <c r="E179" i="58"/>
  <c r="F180" i="58"/>
  <c r="F181" i="58"/>
  <c r="F182" i="58"/>
  <c r="F183" i="58"/>
  <c r="G184" i="58"/>
  <c r="G185" i="58"/>
  <c r="G186" i="58"/>
  <c r="G187" i="58"/>
  <c r="H188" i="58"/>
  <c r="B190" i="58"/>
  <c r="C191" i="58"/>
  <c r="D192" i="58"/>
  <c r="D193" i="58"/>
  <c r="D194" i="58"/>
  <c r="D195" i="58"/>
  <c r="E196" i="58"/>
  <c r="E197" i="58"/>
  <c r="B126" i="58"/>
  <c r="E127" i="58"/>
  <c r="F128" i="58"/>
  <c r="B132" i="58"/>
  <c r="C133" i="58"/>
  <c r="D134" i="58"/>
  <c r="E135" i="58"/>
  <c r="F136" i="58"/>
  <c r="E137" i="58"/>
  <c r="E138" i="58"/>
  <c r="E139" i="58"/>
  <c r="F140" i="58"/>
  <c r="B144" i="58"/>
  <c r="C145" i="58"/>
  <c r="D146" i="58"/>
  <c r="E147" i="58"/>
  <c r="F148" i="58"/>
  <c r="F149" i="58"/>
  <c r="B153" i="58"/>
  <c r="C154" i="58"/>
  <c r="D155" i="58"/>
  <c r="E156" i="58"/>
  <c r="E157" i="58"/>
  <c r="F158" i="58"/>
  <c r="F159" i="58"/>
  <c r="G160" i="58"/>
  <c r="G161" i="58"/>
  <c r="H162" i="58"/>
  <c r="B164" i="58"/>
  <c r="C165" i="58"/>
  <c r="D166" i="58"/>
  <c r="E167" i="58"/>
  <c r="F168" i="58"/>
  <c r="G169" i="58"/>
  <c r="H170" i="58"/>
  <c r="B172" i="58"/>
  <c r="B173" i="58"/>
  <c r="B174" i="58"/>
  <c r="B175" i="58"/>
  <c r="C176" i="58"/>
  <c r="D177" i="58"/>
  <c r="E178" i="58"/>
  <c r="F179" i="58"/>
  <c r="G180" i="58"/>
  <c r="G181" i="58"/>
  <c r="G182" i="58"/>
  <c r="G183" i="58"/>
  <c r="H184" i="58"/>
  <c r="H185" i="58"/>
  <c r="H186" i="58"/>
  <c r="H187" i="58"/>
  <c r="B189" i="58"/>
  <c r="C190" i="58"/>
  <c r="D191" i="58"/>
  <c r="E192" i="58"/>
  <c r="E193" i="58"/>
  <c r="E194" i="58"/>
  <c r="E195" i="58"/>
  <c r="F196" i="58"/>
  <c r="F197" i="58"/>
  <c r="G198" i="58"/>
  <c r="H199" i="58"/>
  <c r="B201" i="58"/>
  <c r="C202" i="58"/>
  <c r="D203" i="58"/>
  <c r="E204" i="58"/>
  <c r="E205" i="58"/>
  <c r="E206" i="58"/>
  <c r="E207" i="58"/>
  <c r="F208" i="58"/>
  <c r="G209" i="58"/>
  <c r="H210" i="58"/>
  <c r="B212" i="58"/>
  <c r="B213" i="58"/>
  <c r="B214" i="58"/>
  <c r="B215" i="58"/>
  <c r="C216" i="58"/>
  <c r="C217" i="58"/>
  <c r="C218" i="58"/>
  <c r="C126" i="58"/>
  <c r="E126" i="58"/>
  <c r="B130" i="58"/>
  <c r="C131" i="58"/>
  <c r="D132" i="58"/>
  <c r="E133" i="58"/>
  <c r="F134" i="58"/>
  <c r="B142" i="58"/>
  <c r="C143" i="58"/>
  <c r="D144" i="58"/>
  <c r="E145" i="58"/>
  <c r="F126" i="58"/>
  <c r="B128" i="58"/>
  <c r="C129" i="58"/>
  <c r="D130" i="58"/>
  <c r="E131" i="58"/>
  <c r="F132" i="58"/>
  <c r="B136" i="58"/>
  <c r="B140" i="58"/>
  <c r="C141" i="58"/>
  <c r="D142" i="58"/>
  <c r="E143" i="58"/>
  <c r="F144" i="58"/>
  <c r="B127" i="58"/>
  <c r="C128" i="58"/>
  <c r="D129" i="58"/>
  <c r="E130" i="58"/>
  <c r="F131" i="58"/>
  <c r="B135" i="58"/>
  <c r="C136" i="58"/>
  <c r="B137" i="58"/>
  <c r="B138" i="58"/>
  <c r="B139" i="58"/>
  <c r="C140" i="58"/>
  <c r="D141" i="58"/>
  <c r="E142" i="58"/>
  <c r="F143" i="58"/>
  <c r="B147" i="58"/>
  <c r="C148" i="58"/>
  <c r="C149" i="58"/>
  <c r="D150" i="58"/>
  <c r="E151" i="58"/>
  <c r="F152" i="58"/>
  <c r="B156" i="58"/>
  <c r="B157" i="58"/>
  <c r="C158" i="58"/>
  <c r="C159" i="58"/>
  <c r="D160" i="58"/>
  <c r="D161" i="58"/>
  <c r="E162" i="58"/>
  <c r="F163" i="58"/>
  <c r="H165" i="58"/>
  <c r="B167" i="58"/>
  <c r="C168" i="58"/>
  <c r="D169" i="58"/>
  <c r="E170" i="58"/>
  <c r="F171" i="58"/>
  <c r="G172" i="58"/>
  <c r="G173" i="58"/>
  <c r="G174" i="58"/>
  <c r="G175" i="58"/>
  <c r="H176" i="58"/>
  <c r="B178" i="58"/>
  <c r="C179" i="58"/>
  <c r="D180" i="58"/>
  <c r="D181" i="58"/>
  <c r="D182" i="58"/>
  <c r="D183" i="58"/>
  <c r="E184" i="58"/>
  <c r="E185" i="58"/>
  <c r="E186" i="58"/>
  <c r="E187" i="58"/>
  <c r="F188" i="58"/>
  <c r="G189" i="58"/>
  <c r="H190" i="58"/>
  <c r="B192" i="58"/>
  <c r="B193" i="58"/>
  <c r="B194" i="58"/>
  <c r="B195" i="58"/>
  <c r="C196" i="58"/>
  <c r="C197" i="58"/>
  <c r="D198" i="58"/>
  <c r="E199" i="58"/>
  <c r="F200" i="58"/>
  <c r="G201" i="58"/>
  <c r="H202" i="58"/>
  <c r="B204" i="58"/>
  <c r="B205" i="58"/>
  <c r="B206" i="58"/>
  <c r="B207" i="58"/>
  <c r="C208" i="58"/>
  <c r="D209" i="58"/>
  <c r="E210" i="58"/>
  <c r="F211" i="58"/>
  <c r="G212" i="58"/>
  <c r="G213" i="58"/>
  <c r="G214" i="58"/>
  <c r="G215" i="58"/>
  <c r="H216" i="58"/>
  <c r="H217" i="58"/>
  <c r="H218" i="58"/>
  <c r="C127" i="58"/>
  <c r="C130" i="58"/>
  <c r="D133" i="58"/>
  <c r="D136" i="58"/>
  <c r="C147" i="58"/>
  <c r="E152" i="58"/>
  <c r="E154" i="58"/>
  <c r="C156" i="58"/>
  <c r="H157" i="58"/>
  <c r="G159" i="58"/>
  <c r="C161" i="58"/>
  <c r="C163" i="58"/>
  <c r="G166" i="58"/>
  <c r="G168" i="58"/>
  <c r="D170" i="58"/>
  <c r="D172" i="58"/>
  <c r="H173" i="58"/>
  <c r="E175" i="58"/>
  <c r="E177" i="58"/>
  <c r="B179" i="58"/>
  <c r="E182" i="58"/>
  <c r="C184" i="58"/>
  <c r="D187" i="58"/>
  <c r="D189" i="58"/>
  <c r="B191" i="58"/>
  <c r="H192" i="58"/>
  <c r="F194" i="58"/>
  <c r="B196" i="58"/>
  <c r="H197" i="58"/>
  <c r="D199" i="58"/>
  <c r="H200" i="58"/>
  <c r="E202" i="58"/>
  <c r="H203" i="58"/>
  <c r="D205" i="58"/>
  <c r="G206" i="58"/>
  <c r="B208" i="58"/>
  <c r="F209" i="58"/>
  <c r="C211" i="58"/>
  <c r="F212" i="58"/>
  <c r="D215" i="58"/>
  <c r="G216" i="58"/>
  <c r="B218" i="58"/>
  <c r="D219" i="58"/>
  <c r="E220" i="58"/>
  <c r="F221" i="58"/>
  <c r="G222" i="58"/>
  <c r="H223" i="58"/>
  <c r="B228" i="58"/>
  <c r="C229" i="58"/>
  <c r="D230" i="58"/>
  <c r="E231" i="58"/>
  <c r="F232" i="58"/>
  <c r="B236" i="58"/>
  <c r="B237" i="58"/>
  <c r="B238" i="58"/>
  <c r="B239" i="58"/>
  <c r="C240" i="58"/>
  <c r="D241" i="58"/>
  <c r="E242" i="58"/>
  <c r="F243" i="58"/>
  <c r="B247" i="58"/>
  <c r="C248" i="58"/>
  <c r="D249" i="58"/>
  <c r="E250" i="58"/>
  <c r="F251" i="58"/>
  <c r="B255" i="58"/>
  <c r="C256" i="58"/>
  <c r="F127" i="58"/>
  <c r="F130" i="58"/>
  <c r="F133" i="58"/>
  <c r="C139" i="58"/>
  <c r="C142" i="58"/>
  <c r="D145" i="58"/>
  <c r="F147" i="58"/>
  <c r="B149" i="58"/>
  <c r="B151" i="58"/>
  <c r="F154" i="58"/>
  <c r="F156" i="58"/>
  <c r="B158" i="58"/>
  <c r="H159" i="58"/>
  <c r="E161" i="58"/>
  <c r="D163" i="58"/>
  <c r="D165" i="58"/>
  <c r="H166" i="58"/>
  <c r="H168" i="58"/>
  <c r="F170" i="58"/>
  <c r="E172" i="58"/>
  <c r="C174" i="58"/>
  <c r="F175" i="58"/>
  <c r="F177" i="58"/>
  <c r="D179" i="58"/>
  <c r="B181" i="58"/>
  <c r="H182" i="58"/>
  <c r="D184" i="58"/>
  <c r="B186" i="58"/>
  <c r="F187" i="58"/>
  <c r="E189" i="58"/>
  <c r="E191" i="58"/>
  <c r="G194" i="58"/>
  <c r="D196" i="58"/>
  <c r="B198" i="58"/>
  <c r="F199" i="58"/>
  <c r="C201" i="58"/>
  <c r="F202" i="58"/>
  <c r="C204" i="58"/>
  <c r="F205" i="58"/>
  <c r="H206" i="58"/>
  <c r="D208" i="58"/>
  <c r="H209" i="58"/>
  <c r="D211" i="58"/>
  <c r="H212" i="58"/>
  <c r="C214" i="58"/>
  <c r="E215" i="58"/>
  <c r="D218" i="58"/>
  <c r="E219" i="58"/>
  <c r="F220" i="58"/>
  <c r="G221" i="58"/>
  <c r="H222" i="58"/>
  <c r="B224" i="58"/>
  <c r="B225" i="58"/>
  <c r="B226" i="58"/>
  <c r="B227" i="58"/>
  <c r="C228" i="58"/>
  <c r="D229" i="58"/>
  <c r="E230" i="58"/>
  <c r="F231" i="58"/>
  <c r="B235" i="58"/>
  <c r="C236" i="58"/>
  <c r="C237" i="58"/>
  <c r="C238" i="58"/>
  <c r="C239" i="58"/>
  <c r="D240" i="58"/>
  <c r="E241" i="58"/>
  <c r="F242" i="58"/>
  <c r="B131" i="58"/>
  <c r="B134" i="58"/>
  <c r="F139" i="58"/>
  <c r="F142" i="58"/>
  <c r="F145" i="58"/>
  <c r="D149" i="58"/>
  <c r="C151" i="58"/>
  <c r="C153" i="58"/>
  <c r="D158" i="58"/>
  <c r="B160" i="58"/>
  <c r="H161" i="58"/>
  <c r="E163" i="58"/>
  <c r="E165" i="58"/>
  <c r="C167" i="58"/>
  <c r="B169" i="58"/>
  <c r="B171" i="58"/>
  <c r="F172" i="58"/>
  <c r="D174" i="58"/>
  <c r="H175" i="58"/>
  <c r="G177" i="58"/>
  <c r="G179" i="58"/>
  <c r="C181" i="58"/>
  <c r="F184" i="58"/>
  <c r="C186" i="58"/>
  <c r="B188" i="58"/>
  <c r="F189" i="58"/>
  <c r="F191" i="58"/>
  <c r="C193" i="58"/>
  <c r="H194" i="58"/>
  <c r="G196" i="58"/>
  <c r="C198" i="58"/>
  <c r="G199" i="58"/>
  <c r="D201" i="58"/>
  <c r="G202" i="58"/>
  <c r="D204" i="58"/>
  <c r="G205" i="58"/>
  <c r="E208" i="58"/>
  <c r="B210" i="58"/>
  <c r="E211" i="58"/>
  <c r="D214" i="58"/>
  <c r="F215" i="58"/>
  <c r="B217" i="58"/>
  <c r="E218" i="58"/>
  <c r="F219" i="58"/>
  <c r="G220" i="58"/>
  <c r="H221" i="58"/>
  <c r="B223" i="58"/>
  <c r="C224" i="58"/>
  <c r="C225" i="58"/>
  <c r="C226" i="58"/>
  <c r="C227" i="58"/>
  <c r="D228" i="58"/>
  <c r="E229" i="58"/>
  <c r="F230" i="58"/>
  <c r="B234" i="58"/>
  <c r="C235" i="58"/>
  <c r="D236" i="58"/>
  <c r="D237" i="58"/>
  <c r="D238" i="58"/>
  <c r="D239" i="58"/>
  <c r="E240" i="58"/>
  <c r="F241" i="58"/>
  <c r="B245" i="58"/>
  <c r="C246" i="58"/>
  <c r="D247" i="58"/>
  <c r="E248" i="58"/>
  <c r="F249" i="58"/>
  <c r="B253" i="58"/>
  <c r="C254" i="58"/>
  <c r="D255" i="58"/>
  <c r="E256" i="58"/>
  <c r="D128" i="58"/>
  <c r="D131" i="58"/>
  <c r="E134" i="58"/>
  <c r="C137" i="58"/>
  <c r="B143" i="58"/>
  <c r="B146" i="58"/>
  <c r="D151" i="58"/>
  <c r="D153" i="58"/>
  <c r="B155" i="58"/>
  <c r="G158" i="58"/>
  <c r="C160" i="58"/>
  <c r="B162" i="58"/>
  <c r="G163" i="58"/>
  <c r="F165" i="58"/>
  <c r="F167" i="58"/>
  <c r="C169" i="58"/>
  <c r="C171" i="58"/>
  <c r="H172" i="58"/>
  <c r="E174" i="58"/>
  <c r="D176" i="58"/>
  <c r="H177" i="58"/>
  <c r="H179" i="58"/>
  <c r="E181" i="58"/>
  <c r="B183" i="58"/>
  <c r="D186" i="58"/>
  <c r="C188" i="58"/>
  <c r="H189" i="58"/>
  <c r="F137" i="58"/>
  <c r="D140" i="58"/>
  <c r="D143" i="58"/>
  <c r="E146" i="58"/>
  <c r="B148" i="58"/>
  <c r="F151" i="58"/>
  <c r="E153" i="58"/>
  <c r="E155" i="58"/>
  <c r="H158" i="58"/>
  <c r="E160" i="58"/>
  <c r="C162" i="58"/>
  <c r="C164" i="58"/>
  <c r="G165" i="58"/>
  <c r="G167" i="58"/>
  <c r="E169" i="58"/>
  <c r="D171" i="58"/>
  <c r="C173" i="58"/>
  <c r="F174" i="58"/>
  <c r="E176" i="58"/>
  <c r="C178" i="58"/>
  <c r="B180" i="58"/>
  <c r="H181" i="58"/>
  <c r="C183" i="58"/>
  <c r="B129" i="58"/>
  <c r="C144" i="58"/>
  <c r="B150" i="58"/>
  <c r="D154" i="58"/>
  <c r="B159" i="58"/>
  <c r="D164" i="58"/>
  <c r="D168" i="58"/>
  <c r="E173" i="58"/>
  <c r="F178" i="58"/>
  <c r="C182" i="58"/>
  <c r="F186" i="58"/>
  <c r="D190" i="58"/>
  <c r="G192" i="58"/>
  <c r="F195" i="58"/>
  <c r="E198" i="58"/>
  <c r="E200" i="58"/>
  <c r="C203" i="58"/>
  <c r="C205" i="58"/>
  <c r="F207" i="58"/>
  <c r="C210" i="58"/>
  <c r="D212" i="58"/>
  <c r="F214" i="58"/>
  <c r="F216" i="58"/>
  <c r="H220" i="58"/>
  <c r="E222" i="58"/>
  <c r="E224" i="58"/>
  <c r="F227" i="58"/>
  <c r="F229" i="58"/>
  <c r="C231" i="58"/>
  <c r="C233" i="58"/>
  <c r="E238" i="58"/>
  <c r="E243" i="58"/>
  <c r="D245" i="58"/>
  <c r="D248" i="58"/>
  <c r="D251" i="58"/>
  <c r="E254" i="58"/>
  <c r="D257" i="58"/>
  <c r="E258" i="58"/>
  <c r="E259" i="58"/>
  <c r="F260" i="58"/>
  <c r="G261" i="58"/>
  <c r="H262" i="58"/>
  <c r="G263" i="58"/>
  <c r="H265" i="58"/>
  <c r="B267" i="58"/>
  <c r="C268" i="58"/>
  <c r="D269" i="58"/>
  <c r="E270" i="58"/>
  <c r="E271" i="58"/>
  <c r="F272" i="58"/>
  <c r="F273" i="58"/>
  <c r="F274" i="58"/>
  <c r="D275" i="58"/>
  <c r="E276" i="58"/>
  <c r="F277" i="58"/>
  <c r="G278" i="58"/>
  <c r="G279" i="58"/>
  <c r="G280" i="58"/>
  <c r="G281" i="58"/>
  <c r="G282" i="58"/>
  <c r="F283" i="58"/>
  <c r="G284" i="58"/>
  <c r="G285" i="58"/>
  <c r="H286" i="58"/>
  <c r="G287" i="58"/>
  <c r="H288" i="58"/>
  <c r="B290" i="58"/>
  <c r="C291" i="58"/>
  <c r="D292" i="58"/>
  <c r="E293" i="58"/>
  <c r="E129" i="58"/>
  <c r="E144" i="58"/>
  <c r="C150" i="58"/>
  <c r="F155" i="58"/>
  <c r="D159" i="58"/>
  <c r="E164" i="58"/>
  <c r="H169" i="58"/>
  <c r="F173" i="58"/>
  <c r="G178" i="58"/>
  <c r="E183" i="58"/>
  <c r="E190" i="58"/>
  <c r="F193" i="58"/>
  <c r="G195" i="58"/>
  <c r="F198" i="58"/>
  <c r="G200" i="58"/>
  <c r="E203" i="58"/>
  <c r="H205" i="58"/>
  <c r="G207" i="58"/>
  <c r="D210" i="58"/>
  <c r="E212" i="58"/>
  <c r="H214" i="58"/>
  <c r="D217" i="58"/>
  <c r="B219" i="58"/>
  <c r="B221" i="58"/>
  <c r="F222" i="58"/>
  <c r="F224" i="58"/>
  <c r="D226" i="58"/>
  <c r="D231" i="58"/>
  <c r="D233" i="58"/>
  <c r="D235" i="58"/>
  <c r="F238" i="58"/>
  <c r="B240" i="58"/>
  <c r="B242" i="58"/>
  <c r="B244" i="58"/>
  <c r="E245" i="58"/>
  <c r="F248" i="58"/>
  <c r="B250" i="58"/>
  <c r="E251" i="58"/>
  <c r="C253" i="58"/>
  <c r="F254" i="58"/>
  <c r="B256" i="58"/>
  <c r="E257" i="58"/>
  <c r="F258" i="58"/>
  <c r="F259" i="58"/>
  <c r="G260" i="58"/>
  <c r="H261" i="58"/>
  <c r="H263" i="58"/>
  <c r="C138" i="58"/>
  <c r="F146" i="58"/>
  <c r="E150" i="58"/>
  <c r="H160" i="58"/>
  <c r="F164" i="58"/>
  <c r="B170" i="58"/>
  <c r="H174" i="58"/>
  <c r="H178" i="58"/>
  <c r="H183" i="58"/>
  <c r="B187" i="58"/>
  <c r="F190" i="58"/>
  <c r="G193" i="58"/>
  <c r="H195" i="58"/>
  <c r="H198" i="58"/>
  <c r="E201" i="58"/>
  <c r="F203" i="58"/>
  <c r="H207" i="58"/>
  <c r="F210" i="58"/>
  <c r="C213" i="58"/>
  <c r="E217" i="58"/>
  <c r="C219" i="58"/>
  <c r="C221" i="58"/>
  <c r="C223" i="58"/>
  <c r="G224" i="58"/>
  <c r="E226" i="58"/>
  <c r="E233" i="58"/>
  <c r="E235" i="58"/>
  <c r="F240" i="58"/>
  <c r="C242" i="58"/>
  <c r="C244" i="58"/>
  <c r="F245" i="58"/>
  <c r="C247" i="58"/>
  <c r="C250" i="58"/>
  <c r="D253" i="58"/>
  <c r="D256" i="58"/>
  <c r="F257" i="58"/>
  <c r="G258" i="58"/>
  <c r="G259" i="58"/>
  <c r="H260" i="58"/>
  <c r="B262" i="58"/>
  <c r="B264" i="58"/>
  <c r="B265" i="58"/>
  <c r="C266" i="58"/>
  <c r="D267" i="58"/>
  <c r="E268" i="58"/>
  <c r="F269" i="58"/>
  <c r="G270" i="58"/>
  <c r="G271" i="58"/>
  <c r="H272" i="58"/>
  <c r="H273" i="58"/>
  <c r="H274" i="58"/>
  <c r="F275" i="58"/>
  <c r="G276" i="58"/>
  <c r="H277" i="58"/>
  <c r="H283" i="58"/>
  <c r="B286" i="58"/>
  <c r="B288" i="58"/>
  <c r="C289" i="58"/>
  <c r="D290" i="58"/>
  <c r="E291" i="58"/>
  <c r="F292" i="58"/>
  <c r="C132" i="58"/>
  <c r="F138" i="58"/>
  <c r="B152" i="58"/>
  <c r="B166" i="58"/>
  <c r="C170" i="58"/>
  <c r="C175" i="58"/>
  <c r="C180" i="58"/>
  <c r="B184" i="58"/>
  <c r="C187" i="58"/>
  <c r="G190" i="58"/>
  <c r="H193" i="58"/>
  <c r="H196" i="58"/>
  <c r="B199" i="58"/>
  <c r="F201" i="58"/>
  <c r="G203" i="58"/>
  <c r="C206" i="58"/>
  <c r="G208" i="58"/>
  <c r="G210" i="58"/>
  <c r="D213" i="58"/>
  <c r="C215" i="58"/>
  <c r="F217" i="58"/>
  <c r="G219" i="58"/>
  <c r="D221" i="58"/>
  <c r="D223" i="58"/>
  <c r="H224" i="58"/>
  <c r="F226" i="58"/>
  <c r="E228" i="58"/>
  <c r="B230" i="58"/>
  <c r="B232" i="58"/>
  <c r="F233" i="58"/>
  <c r="F235" i="58"/>
  <c r="E237" i="58"/>
  <c r="D242" i="58"/>
  <c r="D244" i="58"/>
  <c r="E247" i="58"/>
  <c r="D250" i="58"/>
  <c r="B252" i="58"/>
  <c r="E253" i="58"/>
  <c r="F256" i="58"/>
  <c r="G257" i="58"/>
  <c r="H258" i="58"/>
  <c r="H259" i="58"/>
  <c r="B261" i="58"/>
  <c r="C262" i="58"/>
  <c r="B263" i="58"/>
  <c r="C264" i="58"/>
  <c r="E132" i="58"/>
  <c r="C152" i="58"/>
  <c r="C157" i="58"/>
  <c r="B161" i="58"/>
  <c r="E166" i="58"/>
  <c r="E171" i="58"/>
  <c r="D175" i="58"/>
  <c r="E180" i="58"/>
  <c r="B185" i="58"/>
  <c r="D188" i="58"/>
  <c r="G191" i="58"/>
  <c r="C199" i="58"/>
  <c r="H201" i="58"/>
  <c r="F204" i="58"/>
  <c r="D206" i="58"/>
  <c r="H208" i="58"/>
  <c r="B211" i="58"/>
  <c r="E213" i="58"/>
  <c r="H215" i="58"/>
  <c r="G217" i="58"/>
  <c r="H219" i="58"/>
  <c r="E221" i="58"/>
  <c r="E223" i="58"/>
  <c r="D225" i="58"/>
  <c r="F228" i="58"/>
  <c r="C230" i="58"/>
  <c r="C232" i="58"/>
  <c r="C234" i="58"/>
  <c r="F237" i="58"/>
  <c r="E244" i="58"/>
  <c r="B246" i="58"/>
  <c r="F247" i="58"/>
  <c r="B249" i="58"/>
  <c r="F250" i="58"/>
  <c r="C252" i="58"/>
  <c r="F253" i="58"/>
  <c r="C255" i="58"/>
  <c r="H257" i="58"/>
  <c r="B260" i="58"/>
  <c r="C261" i="58"/>
  <c r="D262" i="58"/>
  <c r="C263" i="58"/>
  <c r="D264" i="58"/>
  <c r="D265" i="58"/>
  <c r="E266" i="58"/>
  <c r="F267" i="58"/>
  <c r="G268" i="58"/>
  <c r="H269" i="58"/>
  <c r="B272" i="58"/>
  <c r="B273" i="58"/>
  <c r="B274" i="58"/>
  <c r="H275" i="58"/>
  <c r="B277" i="58"/>
  <c r="C278" i="58"/>
  <c r="C279" i="58"/>
  <c r="C280" i="58"/>
  <c r="C281" i="58"/>
  <c r="C282" i="58"/>
  <c r="B283" i="58"/>
  <c r="C284" i="58"/>
  <c r="C285" i="58"/>
  <c r="D286" i="58"/>
  <c r="C287" i="58"/>
  <c r="D288" i="58"/>
  <c r="E289" i="58"/>
  <c r="F290" i="58"/>
  <c r="G291" i="58"/>
  <c r="H292" i="58"/>
  <c r="B294" i="58"/>
  <c r="C295" i="58"/>
  <c r="D296" i="58"/>
  <c r="E297" i="58"/>
  <c r="F162" i="58"/>
  <c r="F176" i="58"/>
  <c r="F185" i="58"/>
  <c r="B202" i="58"/>
  <c r="D207" i="58"/>
  <c r="H213" i="58"/>
  <c r="B220" i="58"/>
  <c r="D224" i="58"/>
  <c r="D234" i="58"/>
  <c r="C243" i="58"/>
  <c r="C251" i="58"/>
  <c r="F255" i="58"/>
  <c r="B259" i="58"/>
  <c r="F261" i="58"/>
  <c r="F264" i="58"/>
  <c r="F266" i="58"/>
  <c r="D268" i="58"/>
  <c r="C270" i="58"/>
  <c r="H271" i="58"/>
  <c r="E273" i="58"/>
  <c r="F276" i="58"/>
  <c r="E278" i="58"/>
  <c r="B280" i="58"/>
  <c r="F281" i="58"/>
  <c r="C283" i="58"/>
  <c r="H284" i="58"/>
  <c r="F286" i="58"/>
  <c r="C288" i="58"/>
  <c r="H289" i="58"/>
  <c r="H291" i="58"/>
  <c r="F293" i="58"/>
  <c r="H294" i="58"/>
  <c r="C296" i="58"/>
  <c r="F297" i="58"/>
  <c r="G298" i="58"/>
  <c r="F299" i="58"/>
  <c r="G300" i="58"/>
  <c r="G301" i="58"/>
  <c r="H302" i="58"/>
  <c r="H303" i="58"/>
  <c r="H304" i="58"/>
  <c r="H305" i="58"/>
  <c r="H306" i="58"/>
  <c r="F307" i="58"/>
  <c r="G308" i="58"/>
  <c r="H309" i="58"/>
  <c r="G310" i="58"/>
  <c r="G311" i="58"/>
  <c r="G312" i="58"/>
  <c r="H313" i="58"/>
  <c r="H314" i="58"/>
  <c r="B316" i="58"/>
  <c r="C317" i="58"/>
  <c r="D318" i="58"/>
  <c r="E319" i="58"/>
  <c r="F320" i="58"/>
  <c r="G321" i="58"/>
  <c r="H322" i="58"/>
  <c r="B324" i="58"/>
  <c r="H276" i="58"/>
  <c r="G286" i="58"/>
  <c r="C290" i="58"/>
  <c r="G293" i="58"/>
  <c r="E296" i="58"/>
  <c r="H298" i="58"/>
  <c r="H300" i="58"/>
  <c r="G307" i="58"/>
  <c r="H310" i="58"/>
  <c r="H312" i="58"/>
  <c r="B315" i="58"/>
  <c r="D317" i="58"/>
  <c r="E318" i="58"/>
  <c r="G320" i="58"/>
  <c r="B323" i="58"/>
  <c r="G318" i="58"/>
  <c r="C322" i="58"/>
  <c r="E260" i="58"/>
  <c r="E269" i="58"/>
  <c r="B276" i="58"/>
  <c r="D284" i="58"/>
  <c r="B291" i="58"/>
  <c r="G295" i="58"/>
  <c r="D300" i="58"/>
  <c r="E305" i="58"/>
  <c r="E309" i="58"/>
  <c r="E313" i="58"/>
  <c r="H317" i="58"/>
  <c r="D321" i="58"/>
  <c r="C200" i="58"/>
  <c r="F218" i="58"/>
  <c r="C258" i="58"/>
  <c r="H267" i="58"/>
  <c r="G274" i="58"/>
  <c r="B278" i="58"/>
  <c r="C135" i="58"/>
  <c r="D152" i="58"/>
  <c r="B163" i="58"/>
  <c r="G176" i="58"/>
  <c r="E188" i="58"/>
  <c r="C195" i="58"/>
  <c r="D202" i="58"/>
  <c r="B209" i="58"/>
  <c r="E214" i="58"/>
  <c r="C220" i="58"/>
  <c r="E225" i="58"/>
  <c r="B229" i="58"/>
  <c r="E234" i="58"/>
  <c r="E239" i="58"/>
  <c r="D243" i="58"/>
  <c r="D252" i="58"/>
  <c r="C259" i="58"/>
  <c r="E262" i="58"/>
  <c r="G266" i="58"/>
  <c r="F268" i="58"/>
  <c r="D270" i="58"/>
  <c r="C272" i="58"/>
  <c r="G273" i="58"/>
  <c r="B275" i="58"/>
  <c r="F278" i="58"/>
  <c r="D280" i="58"/>
  <c r="H281" i="58"/>
  <c r="D283" i="58"/>
  <c r="B285" i="58"/>
  <c r="E288" i="58"/>
  <c r="B292" i="58"/>
  <c r="B295" i="58"/>
  <c r="G297" i="58"/>
  <c r="G299" i="58"/>
  <c r="H301" i="58"/>
  <c r="H308" i="58"/>
  <c r="H311" i="58"/>
  <c r="C316" i="58"/>
  <c r="F319" i="58"/>
  <c r="H321" i="58"/>
  <c r="C324" i="58"/>
  <c r="D323" i="58"/>
  <c r="D222" i="58"/>
  <c r="B258" i="58"/>
  <c r="G267" i="58"/>
  <c r="E274" i="58"/>
  <c r="F282" i="58"/>
  <c r="D289" i="58"/>
  <c r="B297" i="58"/>
  <c r="E302" i="58"/>
  <c r="E306" i="58"/>
  <c r="D312" i="58"/>
  <c r="F315" i="58"/>
  <c r="C320" i="58"/>
  <c r="D148" i="58"/>
  <c r="C212" i="58"/>
  <c r="E232" i="58"/>
  <c r="D254" i="58"/>
  <c r="F263" i="58"/>
  <c r="C273" i="58"/>
  <c r="D281" i="58"/>
  <c r="F135" i="58"/>
  <c r="F153" i="58"/>
  <c r="F166" i="58"/>
  <c r="B177" i="58"/>
  <c r="G188" i="58"/>
  <c r="B197" i="58"/>
  <c r="B203" i="58"/>
  <c r="C209" i="58"/>
  <c r="B216" i="58"/>
  <c r="D220" i="58"/>
  <c r="F225" i="58"/>
  <c r="F234" i="58"/>
  <c r="F239" i="58"/>
  <c r="F244" i="58"/>
  <c r="B248" i="58"/>
  <c r="E252" i="58"/>
  <c r="D259" i="58"/>
  <c r="F262" i="58"/>
  <c r="C265" i="58"/>
  <c r="H266" i="58"/>
  <c r="H268" i="58"/>
  <c r="F270" i="58"/>
  <c r="D272" i="58"/>
  <c r="C275" i="58"/>
  <c r="C277" i="58"/>
  <c r="H278" i="58"/>
  <c r="E280" i="58"/>
  <c r="B282" i="58"/>
  <c r="E283" i="58"/>
  <c r="D285" i="58"/>
  <c r="F288" i="58"/>
  <c r="E290" i="58"/>
  <c r="C292" i="58"/>
  <c r="H293" i="58"/>
  <c r="D295" i="58"/>
  <c r="F296" i="58"/>
  <c r="H297" i="58"/>
  <c r="H299" i="58"/>
  <c r="B302" i="58"/>
  <c r="B303" i="58"/>
  <c r="B304" i="58"/>
  <c r="B305" i="58"/>
  <c r="B306" i="58"/>
  <c r="H307" i="58"/>
  <c r="B309" i="58"/>
  <c r="B313" i="58"/>
  <c r="B314" i="58"/>
  <c r="C315" i="58"/>
  <c r="D316" i="58"/>
  <c r="E317" i="58"/>
  <c r="F318" i="58"/>
  <c r="G319" i="58"/>
  <c r="H320" i="58"/>
  <c r="B322" i="58"/>
  <c r="C323" i="58"/>
  <c r="D324" i="58"/>
  <c r="G296" i="58"/>
  <c r="C302" i="58"/>
  <c r="C305" i="58"/>
  <c r="C309" i="58"/>
  <c r="B311" i="58"/>
  <c r="C313" i="58"/>
  <c r="E316" i="58"/>
  <c r="B321" i="58"/>
  <c r="D227" i="58"/>
  <c r="G277" i="58"/>
  <c r="B293" i="58"/>
  <c r="D301" i="58"/>
  <c r="D308" i="58"/>
  <c r="E314" i="58"/>
  <c r="F323" i="58"/>
  <c r="F192" i="58"/>
  <c r="E246" i="58"/>
  <c r="G269" i="58"/>
  <c r="B141" i="58"/>
  <c r="H167" i="58"/>
  <c r="H180" i="58"/>
  <c r="C189" i="58"/>
  <c r="D197" i="58"/>
  <c r="G204" i="58"/>
  <c r="E209" i="58"/>
  <c r="D216" i="58"/>
  <c r="B222" i="58"/>
  <c r="C249" i="58"/>
  <c r="F252" i="58"/>
  <c r="B257" i="58"/>
  <c r="C260" i="58"/>
  <c r="G262" i="58"/>
  <c r="E265" i="58"/>
  <c r="C267" i="58"/>
  <c r="B269" i="58"/>
  <c r="H270" i="58"/>
  <c r="E272" i="58"/>
  <c r="C274" i="58"/>
  <c r="E275" i="58"/>
  <c r="D277" i="58"/>
  <c r="B279" i="58"/>
  <c r="F280" i="58"/>
  <c r="D282" i="58"/>
  <c r="G283" i="58"/>
  <c r="E285" i="58"/>
  <c r="B287" i="58"/>
  <c r="G288" i="58"/>
  <c r="G290" i="58"/>
  <c r="E292" i="58"/>
  <c r="C294" i="58"/>
  <c r="E295" i="58"/>
  <c r="B298" i="58"/>
  <c r="B300" i="58"/>
  <c r="B301" i="58"/>
  <c r="C303" i="58"/>
  <c r="C304" i="58"/>
  <c r="C306" i="58"/>
  <c r="B308" i="58"/>
  <c r="B310" i="58"/>
  <c r="B312" i="58"/>
  <c r="C314" i="58"/>
  <c r="D315" i="58"/>
  <c r="F317" i="58"/>
  <c r="H319" i="58"/>
  <c r="E324" i="58"/>
  <c r="F236" i="58"/>
  <c r="E263" i="58"/>
  <c r="C271" i="58"/>
  <c r="E279" i="58"/>
  <c r="H285" i="58"/>
  <c r="E294" i="58"/>
  <c r="C299" i="58"/>
  <c r="E303" i="58"/>
  <c r="C307" i="58"/>
  <c r="D311" i="58"/>
  <c r="B319" i="58"/>
  <c r="E322" i="58"/>
  <c r="C172" i="58"/>
  <c r="F206" i="58"/>
  <c r="E227" i="58"/>
  <c r="D261" i="58"/>
  <c r="D271" i="58"/>
  <c r="F279" i="58"/>
  <c r="E141" i="58"/>
  <c r="F157" i="58"/>
  <c r="B168" i="58"/>
  <c r="H191" i="58"/>
  <c r="G197" i="58"/>
  <c r="H204" i="58"/>
  <c r="G211" i="58"/>
  <c r="E216" i="58"/>
  <c r="C222" i="58"/>
  <c r="B231" i="58"/>
  <c r="E236" i="58"/>
  <c r="B241" i="58"/>
  <c r="C245" i="58"/>
  <c r="E249" i="58"/>
  <c r="C257" i="58"/>
  <c r="D260" i="58"/>
  <c r="D263" i="58"/>
  <c r="F265" i="58"/>
  <c r="E267" i="58"/>
  <c r="C269" i="58"/>
  <c r="B271" i="58"/>
  <c r="G272" i="58"/>
  <c r="D274" i="58"/>
  <c r="G275" i="58"/>
  <c r="E277" i="58"/>
  <c r="D279" i="58"/>
  <c r="H280" i="58"/>
  <c r="E282" i="58"/>
  <c r="B284" i="58"/>
  <c r="F285" i="58"/>
  <c r="D287" i="58"/>
  <c r="B289" i="58"/>
  <c r="H290" i="58"/>
  <c r="G292" i="58"/>
  <c r="D294" i="58"/>
  <c r="F295" i="58"/>
  <c r="H296" i="58"/>
  <c r="C298" i="58"/>
  <c r="B299" i="58"/>
  <c r="C300" i="58"/>
  <c r="C301" i="58"/>
  <c r="D302" i="58"/>
  <c r="D303" i="58"/>
  <c r="D304" i="58"/>
  <c r="D305" i="58"/>
  <c r="D306" i="58"/>
  <c r="B307" i="58"/>
  <c r="C308" i="58"/>
  <c r="D309" i="58"/>
  <c r="C310" i="58"/>
  <c r="C311" i="58"/>
  <c r="C312" i="58"/>
  <c r="D313" i="58"/>
  <c r="D314" i="58"/>
  <c r="E315" i="58"/>
  <c r="F316" i="58"/>
  <c r="G317" i="58"/>
  <c r="H318" i="58"/>
  <c r="B320" i="58"/>
  <c r="C321" i="58"/>
  <c r="D322" i="58"/>
  <c r="E323" i="58"/>
  <c r="F324" i="58"/>
  <c r="G157" i="58"/>
  <c r="G171" i="58"/>
  <c r="B182" i="58"/>
  <c r="C192" i="58"/>
  <c r="B200" i="58"/>
  <c r="H211" i="58"/>
  <c r="D232" i="58"/>
  <c r="C241" i="58"/>
  <c r="D246" i="58"/>
  <c r="B254" i="58"/>
  <c r="G265" i="58"/>
  <c r="B281" i="58"/>
  <c r="E287" i="58"/>
  <c r="D298" i="58"/>
  <c r="E304" i="58"/>
  <c r="D310" i="58"/>
  <c r="G316" i="58"/>
  <c r="G324" i="58"/>
  <c r="C185" i="58"/>
  <c r="F223" i="58"/>
  <c r="B266" i="58"/>
  <c r="C276" i="58"/>
  <c r="G218" i="58"/>
  <c r="E255" i="58"/>
  <c r="D273" i="58"/>
  <c r="E284" i="58"/>
  <c r="D291" i="58"/>
  <c r="C297" i="58"/>
  <c r="E301" i="58"/>
  <c r="F305" i="58"/>
  <c r="D162" i="58"/>
  <c r="G223" i="58"/>
  <c r="D258" i="58"/>
  <c r="F284" i="58"/>
  <c r="F291" i="58"/>
  <c r="D297" i="58"/>
  <c r="F301" i="58"/>
  <c r="G305" i="58"/>
  <c r="G309" i="58"/>
  <c r="G313" i="58"/>
  <c r="C318" i="58"/>
  <c r="G322" i="58"/>
  <c r="E310" i="58"/>
  <c r="F314" i="58"/>
  <c r="C319" i="58"/>
  <c r="G323" i="58"/>
  <c r="F298" i="58"/>
  <c r="G302" i="58"/>
  <c r="G306" i="58"/>
  <c r="F310" i="58"/>
  <c r="G314" i="58"/>
  <c r="H323" i="58"/>
  <c r="D200" i="58"/>
  <c r="H287" i="58"/>
  <c r="E307" i="58"/>
  <c r="E320" i="58"/>
  <c r="B270" i="58"/>
  <c r="E300" i="58"/>
  <c r="E312" i="58"/>
  <c r="F213" i="58"/>
  <c r="D173" i="58"/>
  <c r="E261" i="58"/>
  <c r="D276" i="58"/>
  <c r="C286" i="58"/>
  <c r="C293" i="58"/>
  <c r="E298" i="58"/>
  <c r="F302" i="58"/>
  <c r="F306" i="58"/>
  <c r="E281" i="58"/>
  <c r="G303" i="58"/>
  <c r="B125" i="58"/>
  <c r="H282" i="58"/>
  <c r="F304" i="58"/>
  <c r="E321" i="58"/>
  <c r="F300" i="58"/>
  <c r="F312" i="58"/>
  <c r="F321" i="58"/>
  <c r="F313" i="58"/>
  <c r="F322" i="58"/>
  <c r="D185" i="58"/>
  <c r="B233" i="58"/>
  <c r="E264" i="58"/>
  <c r="D278" i="58"/>
  <c r="E286" i="58"/>
  <c r="D293" i="58"/>
  <c r="D319" i="58"/>
  <c r="B268" i="58"/>
  <c r="E299" i="58"/>
  <c r="H315" i="58"/>
  <c r="C207" i="58"/>
  <c r="H295" i="58"/>
  <c r="H316" i="58"/>
  <c r="F271" i="58"/>
  <c r="B296" i="58"/>
  <c r="G304" i="58"/>
  <c r="B317" i="58"/>
  <c r="C194" i="58"/>
  <c r="D266" i="58"/>
  <c r="H279" i="58"/>
  <c r="F287" i="58"/>
  <c r="F294" i="58"/>
  <c r="D299" i="58"/>
  <c r="F303" i="58"/>
  <c r="D307" i="58"/>
  <c r="E311" i="58"/>
  <c r="G315" i="58"/>
  <c r="D320" i="58"/>
  <c r="H324" i="58"/>
  <c r="B243" i="58"/>
  <c r="G294" i="58"/>
  <c r="F311" i="58"/>
  <c r="F246" i="58"/>
  <c r="F289" i="58"/>
  <c r="E308" i="58"/>
  <c r="B251" i="58"/>
  <c r="G289" i="58"/>
  <c r="F308" i="58"/>
  <c r="F309" i="58"/>
  <c r="B318" i="58"/>
  <c r="F125" i="58"/>
  <c r="E125" i="58"/>
  <c r="D126" i="58"/>
  <c r="P35" i="51"/>
  <c r="P37" i="51"/>
  <c r="D125" i="58" s="1"/>
  <c r="P36" i="51"/>
  <c r="R85" i="51"/>
  <c r="R114" i="51"/>
  <c r="R143" i="51"/>
  <c r="R239" i="51"/>
  <c r="R89" i="51"/>
  <c r="R210" i="51"/>
  <c r="R86" i="51"/>
  <c r="R115" i="51"/>
  <c r="R144" i="51"/>
  <c r="R211" i="51"/>
  <c r="R240" i="51"/>
  <c r="R87" i="51"/>
  <c r="R116" i="51"/>
  <c r="R145" i="51"/>
  <c r="R212" i="51"/>
  <c r="R147" i="51"/>
  <c r="R146" i="51"/>
  <c r="R119" i="51"/>
  <c r="R121" i="51"/>
  <c r="R217" i="51"/>
  <c r="R93" i="51"/>
  <c r="R248" i="51"/>
  <c r="R94" i="51"/>
  <c r="R249" i="51"/>
  <c r="R123" i="51"/>
  <c r="R95" i="51"/>
  <c r="R190" i="51"/>
  <c r="R221" i="51"/>
  <c r="R250" i="51"/>
  <c r="R118" i="51"/>
  <c r="R148" i="51"/>
  <c r="R91" i="51"/>
  <c r="R246" i="51"/>
  <c r="R92" i="51"/>
  <c r="R187" i="51"/>
  <c r="R247" i="51"/>
  <c r="R122" i="51"/>
  <c r="R188" i="51"/>
  <c r="R189" i="51"/>
  <c r="R124" i="51"/>
  <c r="R96" i="51"/>
  <c r="R125" i="51"/>
  <c r="R191" i="51"/>
  <c r="R222" i="51"/>
  <c r="R251" i="51"/>
  <c r="R245" i="51"/>
  <c r="R99" i="51"/>
  <c r="R129" i="51"/>
  <c r="R225" i="51"/>
  <c r="R254" i="51"/>
  <c r="R98" i="51"/>
  <c r="R193" i="51"/>
  <c r="R224" i="51"/>
  <c r="R253" i="51"/>
  <c r="R100" i="51"/>
  <c r="R130" i="51"/>
  <c r="R226" i="51"/>
  <c r="R255" i="51"/>
  <c r="R213" i="51"/>
  <c r="R133" i="51"/>
  <c r="R229" i="51"/>
  <c r="R258" i="51"/>
  <c r="R120" i="51"/>
  <c r="R73" i="51"/>
  <c r="R200" i="51"/>
  <c r="R74" i="51"/>
  <c r="R134" i="51"/>
  <c r="R201" i="51"/>
  <c r="R230" i="51"/>
  <c r="R259" i="51"/>
  <c r="R88" i="51"/>
  <c r="R97" i="51"/>
  <c r="R101" i="51"/>
  <c r="R260" i="51"/>
  <c r="R117" i="51"/>
  <c r="R214" i="51"/>
  <c r="R90" i="51"/>
  <c r="R252" i="51"/>
  <c r="R131" i="51"/>
  <c r="R227" i="51"/>
  <c r="R72" i="51"/>
  <c r="R199" i="51"/>
  <c r="R228" i="51"/>
  <c r="R231" i="51"/>
  <c r="R76" i="51"/>
  <c r="R107" i="51"/>
  <c r="R136" i="51"/>
  <c r="R203" i="51"/>
  <c r="R232" i="51"/>
  <c r="R261" i="51"/>
  <c r="R77" i="51"/>
  <c r="R108" i="51"/>
  <c r="R137" i="51"/>
  <c r="R204" i="51"/>
  <c r="R233" i="51"/>
  <c r="R262" i="51"/>
  <c r="R78" i="51"/>
  <c r="R109" i="51"/>
  <c r="R138" i="51"/>
  <c r="R205" i="51"/>
  <c r="R234" i="51"/>
  <c r="R263" i="51"/>
  <c r="R215" i="51"/>
  <c r="R192" i="51"/>
  <c r="R198" i="51"/>
  <c r="R256" i="51"/>
  <c r="R102" i="51"/>
  <c r="R257" i="51"/>
  <c r="R216" i="51"/>
  <c r="R75" i="51"/>
  <c r="R135" i="51"/>
  <c r="R206" i="51"/>
  <c r="R111" i="51"/>
  <c r="R140" i="51"/>
  <c r="R207" i="51"/>
  <c r="R236" i="51"/>
  <c r="R244" i="51"/>
  <c r="R223" i="51"/>
  <c r="R106" i="51"/>
  <c r="R110" i="51"/>
  <c r="R235" i="51"/>
  <c r="R83" i="51"/>
  <c r="R112" i="51"/>
  <c r="R141" i="51"/>
  <c r="R208" i="51"/>
  <c r="R237" i="51"/>
  <c r="R132" i="51"/>
  <c r="R202" i="51"/>
  <c r="R139" i="51"/>
  <c r="R84" i="51"/>
  <c r="R113" i="51"/>
  <c r="R142" i="51"/>
  <c r="R209" i="51"/>
  <c r="R238" i="51"/>
  <c r="W280" i="58" l="1"/>
  <c r="U280" i="58"/>
  <c r="T280" i="58"/>
  <c r="V280" i="58"/>
  <c r="V262" i="58"/>
  <c r="W262" i="58"/>
  <c r="AK262" i="58" s="1"/>
  <c r="U262" i="58"/>
  <c r="T262" i="58"/>
  <c r="W277" i="58"/>
  <c r="V277" i="58"/>
  <c r="T277" i="58"/>
  <c r="U277" i="58"/>
  <c r="W192" i="58"/>
  <c r="V192" i="58"/>
  <c r="U192" i="58"/>
  <c r="T192" i="58"/>
  <c r="V300" i="58"/>
  <c r="U300" i="58"/>
  <c r="T300" i="58"/>
  <c r="W300" i="58"/>
  <c r="U173" i="58"/>
  <c r="W173" i="58"/>
  <c r="T173" i="58"/>
  <c r="V173" i="58"/>
  <c r="W222" i="58"/>
  <c r="V222" i="58"/>
  <c r="T222" i="58"/>
  <c r="U222" i="58"/>
  <c r="W170" i="58"/>
  <c r="T170" i="58"/>
  <c r="AH170" i="58" s="1"/>
  <c r="U170" i="58"/>
  <c r="V170" i="58"/>
  <c r="T322" i="58"/>
  <c r="V322" i="58"/>
  <c r="U322" i="58"/>
  <c r="W322" i="58"/>
  <c r="W196" i="58"/>
  <c r="V196" i="58"/>
  <c r="AJ196" i="58" s="1"/>
  <c r="T196" i="58"/>
  <c r="U196" i="58"/>
  <c r="T324" i="58"/>
  <c r="V324" i="58"/>
  <c r="U324" i="58"/>
  <c r="W324" i="58"/>
  <c r="W303" i="58"/>
  <c r="V303" i="58"/>
  <c r="AJ303" i="58" s="1"/>
  <c r="U303" i="58"/>
  <c r="T303" i="58"/>
  <c r="U312" i="58"/>
  <c r="W312" i="58"/>
  <c r="V312" i="58"/>
  <c r="T312" i="58"/>
  <c r="V272" i="58"/>
  <c r="U272" i="58"/>
  <c r="AI272" i="58" s="1"/>
  <c r="T272" i="58"/>
  <c r="W272" i="58"/>
  <c r="W223" i="58"/>
  <c r="V223" i="58"/>
  <c r="T223" i="58"/>
  <c r="U223" i="58"/>
  <c r="V190" i="58"/>
  <c r="U190" i="58"/>
  <c r="AI190" i="58" s="1"/>
  <c r="W190" i="58"/>
  <c r="T190" i="58"/>
  <c r="W311" i="58"/>
  <c r="U311" i="58"/>
  <c r="T311" i="58"/>
  <c r="V311" i="58"/>
  <c r="V301" i="58"/>
  <c r="T301" i="58"/>
  <c r="AH301" i="58" s="1"/>
  <c r="U301" i="58"/>
  <c r="W301" i="58"/>
  <c r="V273" i="58"/>
  <c r="U273" i="58"/>
  <c r="W273" i="58"/>
  <c r="T273" i="58"/>
  <c r="V188" i="58"/>
  <c r="U188" i="58"/>
  <c r="AI188" i="58" s="1"/>
  <c r="T188" i="58"/>
  <c r="W188" i="58"/>
  <c r="T295" i="58"/>
  <c r="U295" i="58"/>
  <c r="V295" i="58"/>
  <c r="W295" i="58"/>
  <c r="W320" i="58"/>
  <c r="T320" i="58"/>
  <c r="AH320" i="58" s="1"/>
  <c r="V320" i="58"/>
  <c r="U320" i="58"/>
  <c r="U206" i="58"/>
  <c r="W206" i="58"/>
  <c r="V206" i="58"/>
  <c r="T206" i="58"/>
  <c r="W204" i="58"/>
  <c r="U204" i="58"/>
  <c r="AI204" i="58" s="1"/>
  <c r="V204" i="58"/>
  <c r="T204" i="58"/>
  <c r="T285" i="58"/>
  <c r="V285" i="58"/>
  <c r="U285" i="58"/>
  <c r="W285" i="58"/>
  <c r="W221" i="58"/>
  <c r="V221" i="58"/>
  <c r="T221" i="58"/>
  <c r="U221" i="58"/>
  <c r="W319" i="58"/>
  <c r="T319" i="58"/>
  <c r="V319" i="58"/>
  <c r="U319" i="58"/>
  <c r="T181" i="58"/>
  <c r="W181" i="58"/>
  <c r="U181" i="58"/>
  <c r="V181" i="58"/>
  <c r="U209" i="58"/>
  <c r="T209" i="58"/>
  <c r="W209" i="58"/>
  <c r="V209" i="58"/>
  <c r="T212" i="58"/>
  <c r="U212" i="58"/>
  <c r="AI212" i="58" s="1"/>
  <c r="W212" i="58"/>
  <c r="V212" i="58"/>
  <c r="U186" i="58"/>
  <c r="V186" i="58"/>
  <c r="T186" i="58"/>
  <c r="W186" i="58"/>
  <c r="U214" i="58"/>
  <c r="T214" i="58"/>
  <c r="AH214" i="58" s="1"/>
  <c r="W214" i="58"/>
  <c r="V214" i="58"/>
  <c r="U211" i="58"/>
  <c r="T211" i="58"/>
  <c r="W211" i="58"/>
  <c r="V211" i="58"/>
  <c r="V323" i="58"/>
  <c r="W323" i="58"/>
  <c r="U323" i="58"/>
  <c r="T323" i="58"/>
  <c r="T266" i="58"/>
  <c r="W266" i="58"/>
  <c r="V266" i="58"/>
  <c r="U266" i="58"/>
  <c r="T268" i="58"/>
  <c r="W268" i="58"/>
  <c r="AK268" i="58" s="1"/>
  <c r="U268" i="58"/>
  <c r="V268" i="58"/>
  <c r="U314" i="58"/>
  <c r="W314" i="58"/>
  <c r="V314" i="58"/>
  <c r="T314" i="58"/>
  <c r="V203" i="58"/>
  <c r="W203" i="58"/>
  <c r="AK203" i="58" s="1"/>
  <c r="U203" i="58"/>
  <c r="T203" i="58"/>
  <c r="U177" i="58"/>
  <c r="W177" i="58"/>
  <c r="T177" i="58"/>
  <c r="V177" i="58"/>
  <c r="W169" i="58"/>
  <c r="U169" i="58"/>
  <c r="AI169" i="58" s="1"/>
  <c r="T169" i="58"/>
  <c r="V169" i="58"/>
  <c r="V298" i="58"/>
  <c r="T298" i="58"/>
  <c r="U298" i="58"/>
  <c r="W298" i="58"/>
  <c r="T179" i="58"/>
  <c r="W179" i="58"/>
  <c r="V179" i="58"/>
  <c r="U179" i="58"/>
  <c r="W167" i="58"/>
  <c r="U167" i="58"/>
  <c r="V167" i="58"/>
  <c r="T167" i="58"/>
  <c r="W275" i="58"/>
  <c r="V275" i="58"/>
  <c r="U275" i="58"/>
  <c r="T275" i="58"/>
  <c r="V178" i="58"/>
  <c r="U178" i="58"/>
  <c r="T178" i="58"/>
  <c r="W178" i="58"/>
  <c r="V217" i="58"/>
  <c r="T217" i="58"/>
  <c r="U217" i="58"/>
  <c r="W217" i="58"/>
  <c r="W191" i="58"/>
  <c r="V191" i="58"/>
  <c r="U191" i="58"/>
  <c r="T191" i="58"/>
  <c r="V288" i="58"/>
  <c r="U288" i="58"/>
  <c r="T288" i="58"/>
  <c r="W288" i="58"/>
  <c r="U291" i="58"/>
  <c r="T291" i="58"/>
  <c r="V291" i="58"/>
  <c r="W291" i="58"/>
  <c r="V201" i="58"/>
  <c r="W201" i="58"/>
  <c r="T201" i="58"/>
  <c r="U201" i="58"/>
  <c r="V218" i="58"/>
  <c r="U218" i="58"/>
  <c r="AI218" i="58" s="1"/>
  <c r="T218" i="58"/>
  <c r="W218" i="58"/>
  <c r="U205" i="58"/>
  <c r="W205" i="58"/>
  <c r="V205" i="58"/>
  <c r="T205" i="58"/>
  <c r="U293" i="58"/>
  <c r="T293" i="58"/>
  <c r="W293" i="58"/>
  <c r="V293" i="58"/>
  <c r="AJ293" i="58" s="1"/>
  <c r="T198" i="58"/>
  <c r="V198" i="58"/>
  <c r="AJ198" i="58" s="1"/>
  <c r="U198" i="58"/>
  <c r="W198" i="58"/>
  <c r="W224" i="58"/>
  <c r="V224" i="58"/>
  <c r="U224" i="58"/>
  <c r="T224" i="58"/>
  <c r="V216" i="58"/>
  <c r="U216" i="58"/>
  <c r="AI216" i="58" s="1"/>
  <c r="T216" i="58"/>
  <c r="W216" i="58"/>
  <c r="T286" i="58"/>
  <c r="V286" i="58"/>
  <c r="U286" i="58"/>
  <c r="W286" i="58"/>
  <c r="U208" i="58"/>
  <c r="W208" i="58"/>
  <c r="T208" i="58"/>
  <c r="V208" i="58"/>
  <c r="W279" i="58"/>
  <c r="U279" i="58"/>
  <c r="T279" i="58"/>
  <c r="V279" i="58"/>
  <c r="T294" i="58"/>
  <c r="U294" i="58"/>
  <c r="V294" i="58"/>
  <c r="W294" i="58"/>
  <c r="V160" i="58"/>
  <c r="U160" i="58"/>
  <c r="T160" i="58"/>
  <c r="W160" i="58"/>
  <c r="T283" i="58"/>
  <c r="W283" i="58"/>
  <c r="V283" i="58"/>
  <c r="U283" i="58"/>
  <c r="T259" i="58"/>
  <c r="U259" i="58"/>
  <c r="W259" i="58"/>
  <c r="V259" i="58"/>
  <c r="V263" i="58"/>
  <c r="W263" i="58"/>
  <c r="AK263" i="58" s="1"/>
  <c r="U263" i="58"/>
  <c r="T263" i="58"/>
  <c r="W281" i="58"/>
  <c r="U281" i="58"/>
  <c r="T281" i="58"/>
  <c r="V281" i="58"/>
  <c r="T296" i="58"/>
  <c r="V296" i="58"/>
  <c r="W296" i="58"/>
  <c r="U296" i="58"/>
  <c r="U171" i="58"/>
  <c r="W171" i="58"/>
  <c r="T171" i="58"/>
  <c r="V171" i="58"/>
  <c r="U270" i="58"/>
  <c r="W270" i="58"/>
  <c r="AK270" i="58" s="1"/>
  <c r="V270" i="58"/>
  <c r="T270" i="58"/>
  <c r="V274" i="58"/>
  <c r="U274" i="58"/>
  <c r="W274" i="58"/>
  <c r="T274" i="58"/>
  <c r="W316" i="58"/>
  <c r="T316" i="58"/>
  <c r="AH316" i="58" s="1"/>
  <c r="U316" i="58"/>
  <c r="V316" i="58"/>
  <c r="U290" i="58"/>
  <c r="T290" i="58"/>
  <c r="V290" i="58"/>
  <c r="W290" i="58"/>
  <c r="W163" i="58"/>
  <c r="V163" i="58"/>
  <c r="U163" i="58"/>
  <c r="T163" i="58"/>
  <c r="W195" i="58"/>
  <c r="V195" i="58"/>
  <c r="T195" i="58"/>
  <c r="U195" i="58"/>
  <c r="T210" i="58"/>
  <c r="U210" i="58"/>
  <c r="W210" i="58"/>
  <c r="V210" i="58"/>
  <c r="W165" i="58"/>
  <c r="V165" i="58"/>
  <c r="U165" i="58"/>
  <c r="T165" i="58"/>
  <c r="U159" i="58"/>
  <c r="T159" i="58"/>
  <c r="V159" i="58"/>
  <c r="W159" i="58"/>
  <c r="W278" i="58"/>
  <c r="V278" i="58"/>
  <c r="U278" i="58"/>
  <c r="T278" i="58"/>
  <c r="T184" i="58"/>
  <c r="W184" i="58"/>
  <c r="V184" i="58"/>
  <c r="U184" i="58"/>
  <c r="T180" i="58"/>
  <c r="W180" i="58"/>
  <c r="U180" i="58"/>
  <c r="V180" i="58"/>
  <c r="W317" i="58"/>
  <c r="T317" i="58"/>
  <c r="V317" i="58"/>
  <c r="U317" i="58"/>
  <c r="U187" i="58"/>
  <c r="T187" i="58"/>
  <c r="V187" i="58"/>
  <c r="W187" i="58"/>
  <c r="U158" i="58"/>
  <c r="V158" i="58"/>
  <c r="W158" i="58"/>
  <c r="T158" i="58"/>
  <c r="U315" i="58"/>
  <c r="W315" i="58"/>
  <c r="V315" i="58"/>
  <c r="T315" i="58"/>
  <c r="W308" i="58"/>
  <c r="T308" i="58"/>
  <c r="V308" i="58"/>
  <c r="U308" i="58"/>
  <c r="W309" i="58"/>
  <c r="V309" i="58"/>
  <c r="T309" i="58"/>
  <c r="U309" i="58"/>
  <c r="W194" i="58"/>
  <c r="V194" i="58"/>
  <c r="T194" i="58"/>
  <c r="U194" i="58"/>
  <c r="U174" i="58"/>
  <c r="T174" i="58"/>
  <c r="AH174" i="58" s="1"/>
  <c r="W174" i="58"/>
  <c r="V174" i="58"/>
  <c r="U282" i="58"/>
  <c r="W282" i="58"/>
  <c r="T282" i="58"/>
  <c r="V282" i="58"/>
  <c r="W307" i="58"/>
  <c r="V307" i="58"/>
  <c r="T307" i="58"/>
  <c r="U307" i="58"/>
  <c r="V321" i="58"/>
  <c r="W321" i="58"/>
  <c r="AK321" i="58" s="1"/>
  <c r="T321" i="58"/>
  <c r="U321" i="58"/>
  <c r="T183" i="58"/>
  <c r="W183" i="58"/>
  <c r="V183" i="58"/>
  <c r="U183" i="58"/>
  <c r="U269" i="58"/>
  <c r="T269" i="58"/>
  <c r="AH269" i="58" s="1"/>
  <c r="W269" i="58"/>
  <c r="V269" i="58"/>
  <c r="W197" i="58"/>
  <c r="V197" i="58"/>
  <c r="T197" i="58"/>
  <c r="U197" i="58"/>
  <c r="V161" i="58"/>
  <c r="U161" i="58"/>
  <c r="W161" i="58"/>
  <c r="T161" i="58"/>
  <c r="T182" i="58"/>
  <c r="W182" i="58"/>
  <c r="V182" i="58"/>
  <c r="U182" i="58"/>
  <c r="U297" i="58"/>
  <c r="T297" i="58"/>
  <c r="AH297" i="58" s="1"/>
  <c r="V297" i="58"/>
  <c r="W297" i="58"/>
  <c r="V202" i="58"/>
  <c r="W202" i="58"/>
  <c r="U202" i="58"/>
  <c r="T202" i="58"/>
  <c r="T318" i="58"/>
  <c r="W318" i="58"/>
  <c r="V318" i="58"/>
  <c r="U318" i="58"/>
  <c r="V310" i="58"/>
  <c r="T310" i="58"/>
  <c r="U310" i="58"/>
  <c r="W310" i="58"/>
  <c r="W207" i="58"/>
  <c r="U207" i="58"/>
  <c r="AI207" i="58" s="1"/>
  <c r="T207" i="58"/>
  <c r="V207" i="58"/>
  <c r="W220" i="58"/>
  <c r="T220" i="58"/>
  <c r="V220" i="58"/>
  <c r="U220" i="58"/>
  <c r="V189" i="58"/>
  <c r="U189" i="58"/>
  <c r="AI189" i="58" s="1"/>
  <c r="W189" i="58"/>
  <c r="T189" i="58"/>
  <c r="U313" i="58"/>
  <c r="W313" i="58"/>
  <c r="V313" i="58"/>
  <c r="T313" i="58"/>
  <c r="V287" i="58"/>
  <c r="U287" i="58"/>
  <c r="AI287" i="58" s="1"/>
  <c r="T287" i="58"/>
  <c r="W287" i="58"/>
  <c r="W284" i="58"/>
  <c r="T284" i="58"/>
  <c r="V284" i="58"/>
  <c r="U284" i="58"/>
  <c r="W305" i="58"/>
  <c r="V305" i="58"/>
  <c r="T305" i="58"/>
  <c r="U305" i="58"/>
  <c r="W200" i="58"/>
  <c r="T200" i="58"/>
  <c r="AH200" i="58" s="1"/>
  <c r="V200" i="58"/>
  <c r="U200" i="58"/>
  <c r="AI200" i="58" s="1"/>
  <c r="W166" i="58"/>
  <c r="V166" i="58"/>
  <c r="U166" i="58"/>
  <c r="T166" i="58"/>
  <c r="W306" i="58"/>
  <c r="V306" i="58"/>
  <c r="T306" i="58"/>
  <c r="U306" i="58"/>
  <c r="U215" i="58"/>
  <c r="T215" i="58"/>
  <c r="V215" i="58"/>
  <c r="W215" i="58"/>
  <c r="W219" i="58"/>
  <c r="V219" i="58"/>
  <c r="U219" i="58"/>
  <c r="T219" i="58"/>
  <c r="W193" i="58"/>
  <c r="V193" i="58"/>
  <c r="U193" i="58"/>
  <c r="T193" i="58"/>
  <c r="V261" i="58"/>
  <c r="W261" i="58"/>
  <c r="T261" i="58"/>
  <c r="U261" i="58"/>
  <c r="U292" i="58"/>
  <c r="T292" i="58"/>
  <c r="AH292" i="58" s="1"/>
  <c r="W292" i="58"/>
  <c r="V292" i="58"/>
  <c r="T260" i="58"/>
  <c r="U260" i="58"/>
  <c r="V260" i="58"/>
  <c r="W260" i="58"/>
  <c r="U157" i="58"/>
  <c r="T157" i="58"/>
  <c r="AH157" i="58" s="1"/>
  <c r="V157" i="58"/>
  <c r="W157" i="58"/>
  <c r="W304" i="58"/>
  <c r="T304" i="58"/>
  <c r="V304" i="58"/>
  <c r="U304" i="58"/>
  <c r="U271" i="58"/>
  <c r="T271" i="58"/>
  <c r="AH271" i="58" s="1"/>
  <c r="W271" i="58"/>
  <c r="V271" i="58"/>
  <c r="T258" i="58"/>
  <c r="V258" i="58"/>
  <c r="U258" i="58"/>
  <c r="W258" i="58"/>
  <c r="U299" i="58"/>
  <c r="T299" i="58"/>
  <c r="AH299" i="58" s="1"/>
  <c r="V299" i="58"/>
  <c r="W299" i="58"/>
  <c r="U213" i="58"/>
  <c r="T213" i="58"/>
  <c r="W213" i="58"/>
  <c r="V213" i="58"/>
  <c r="W267" i="58"/>
  <c r="U267" i="58"/>
  <c r="V267" i="58"/>
  <c r="T267" i="58"/>
  <c r="U176" i="58"/>
  <c r="W176" i="58"/>
  <c r="T176" i="58"/>
  <c r="V176" i="58"/>
  <c r="V302" i="58"/>
  <c r="U302" i="58"/>
  <c r="AI302" i="58" s="1"/>
  <c r="T302" i="58"/>
  <c r="W302" i="58"/>
  <c r="W276" i="58"/>
  <c r="U276" i="58"/>
  <c r="T276" i="58"/>
  <c r="V276" i="58"/>
  <c r="U185" i="58"/>
  <c r="T185" i="58"/>
  <c r="AH185" i="58" s="1"/>
  <c r="V185" i="58"/>
  <c r="W185" i="58"/>
  <c r="V265" i="58"/>
  <c r="W265" i="58"/>
  <c r="U265" i="58"/>
  <c r="T265" i="58"/>
  <c r="V162" i="58"/>
  <c r="U162" i="58"/>
  <c r="W162" i="58"/>
  <c r="T162" i="58"/>
  <c r="W172" i="58"/>
  <c r="U172" i="58"/>
  <c r="T172" i="58"/>
  <c r="V172" i="58"/>
  <c r="T199" i="58"/>
  <c r="V199" i="58"/>
  <c r="W199" i="58"/>
  <c r="U199" i="58"/>
  <c r="V289" i="58"/>
  <c r="T289" i="58"/>
  <c r="U289" i="58"/>
  <c r="W289" i="58"/>
  <c r="T257" i="58"/>
  <c r="U257" i="58"/>
  <c r="V257" i="58"/>
  <c r="W257" i="58"/>
  <c r="U175" i="58"/>
  <c r="T175" i="58"/>
  <c r="W175" i="58"/>
  <c r="V175" i="58"/>
  <c r="W168" i="58"/>
  <c r="U168" i="58"/>
  <c r="T168" i="58"/>
  <c r="V168" i="58"/>
  <c r="AH319" i="58"/>
  <c r="AC319" i="58"/>
  <c r="AJ319" i="58" s="1"/>
  <c r="AG319" i="58"/>
  <c r="AE319" i="58"/>
  <c r="AD319" i="58"/>
  <c r="AK319" i="58" s="1"/>
  <c r="AI319" i="58"/>
  <c r="AF319" i="58"/>
  <c r="AC322" i="58"/>
  <c r="AJ322" i="58" s="1"/>
  <c r="AD322" i="58"/>
  <c r="AE322" i="58"/>
  <c r="AI322" i="58"/>
  <c r="AK322" i="58"/>
  <c r="AG322" i="58"/>
  <c r="AH322" i="58"/>
  <c r="AF322" i="58"/>
  <c r="AK293" i="58"/>
  <c r="AC293" i="58"/>
  <c r="AF293" i="58"/>
  <c r="AD293" i="58"/>
  <c r="AG293" i="58"/>
  <c r="AE293" i="58"/>
  <c r="AI293" i="58"/>
  <c r="AH293" i="58"/>
  <c r="AJ218" i="58"/>
  <c r="AH218" i="58"/>
  <c r="AF218" i="58"/>
  <c r="AC218" i="58"/>
  <c r="AG218" i="58"/>
  <c r="AD218" i="58"/>
  <c r="AK218" i="58" s="1"/>
  <c r="AE218" i="58"/>
  <c r="AF174" i="58"/>
  <c r="AG174" i="58"/>
  <c r="AI174" i="58"/>
  <c r="AK174" i="58"/>
  <c r="AJ174" i="58"/>
  <c r="AE174" i="58"/>
  <c r="AD174" i="58"/>
  <c r="AC174" i="58"/>
  <c r="AI305" i="58"/>
  <c r="AH305" i="58"/>
  <c r="AF305" i="58"/>
  <c r="AC305" i="58"/>
  <c r="AE305" i="58"/>
  <c r="AD305" i="58"/>
  <c r="AK305" i="58" s="1"/>
  <c r="AG305" i="58"/>
  <c r="AG321" i="58"/>
  <c r="AE321" i="58"/>
  <c r="AI321" i="58"/>
  <c r="AD321" i="58"/>
  <c r="AH321" i="58"/>
  <c r="AF321" i="58"/>
  <c r="AC321" i="58"/>
  <c r="AJ321" i="58" s="1"/>
  <c r="AI181" i="58"/>
  <c r="AG181" i="58"/>
  <c r="AJ181" i="58"/>
  <c r="AF181" i="58"/>
  <c r="AC181" i="58"/>
  <c r="AE181" i="58"/>
  <c r="AD181" i="58"/>
  <c r="AH181" i="58"/>
  <c r="AH196" i="58"/>
  <c r="AI196" i="58"/>
  <c r="AE196" i="58"/>
  <c r="AG196" i="58"/>
  <c r="AD196" i="58"/>
  <c r="AK196" i="58" s="1"/>
  <c r="AF196" i="58"/>
  <c r="AC196" i="58"/>
  <c r="AH166" i="58"/>
  <c r="AD166" i="58"/>
  <c r="AK166" i="58" s="1"/>
  <c r="AF166" i="58"/>
  <c r="AC166" i="58"/>
  <c r="AG166" i="58"/>
  <c r="AI166" i="58"/>
  <c r="AE166" i="58"/>
  <c r="AE303" i="58"/>
  <c r="AC303" i="58"/>
  <c r="AH303" i="58"/>
  <c r="AI303" i="58"/>
  <c r="AF303" i="58"/>
  <c r="AG303" i="58"/>
  <c r="AD303" i="58"/>
  <c r="AK303" i="58" s="1"/>
  <c r="AI192" i="58"/>
  <c r="AH192" i="58"/>
  <c r="AE192" i="58"/>
  <c r="AG192" i="58"/>
  <c r="AD192" i="58"/>
  <c r="AK192" i="58" s="1"/>
  <c r="AC192" i="58"/>
  <c r="AF192" i="58"/>
  <c r="AF200" i="58"/>
  <c r="AG200" i="58"/>
  <c r="AC200" i="58"/>
  <c r="AJ200" i="58" s="1"/>
  <c r="AE200" i="58"/>
  <c r="AD200" i="58"/>
  <c r="AK200" i="58" s="1"/>
  <c r="AF270" i="58"/>
  <c r="AJ270" i="58"/>
  <c r="AE270" i="58"/>
  <c r="AG270" i="58"/>
  <c r="AC270" i="58"/>
  <c r="AH270" i="58"/>
  <c r="AI270" i="58"/>
  <c r="AD270" i="58"/>
  <c r="AE198" i="58"/>
  <c r="AC198" i="58"/>
  <c r="AG198" i="58"/>
  <c r="AH198" i="58"/>
  <c r="AI198" i="58"/>
  <c r="AD198" i="58"/>
  <c r="AK198" i="58" s="1"/>
  <c r="AF198" i="58"/>
  <c r="AD298" i="58"/>
  <c r="AF298" i="58"/>
  <c r="AE298" i="58"/>
  <c r="AH298" i="58"/>
  <c r="AC298" i="58"/>
  <c r="AJ298" i="58" s="1"/>
  <c r="AI298" i="58"/>
  <c r="AK298" i="58"/>
  <c r="AG298" i="58"/>
  <c r="AI193" i="58"/>
  <c r="AG193" i="58"/>
  <c r="AH193" i="58"/>
  <c r="AC193" i="58"/>
  <c r="AE193" i="58"/>
  <c r="AF193" i="58"/>
  <c r="AD193" i="58"/>
  <c r="AK193" i="58" s="1"/>
  <c r="AE205" i="58"/>
  <c r="AD205" i="58"/>
  <c r="AF205" i="58"/>
  <c r="AG205" i="58"/>
  <c r="AI205" i="58"/>
  <c r="AC205" i="58"/>
  <c r="AJ205" i="58" s="1"/>
  <c r="AH205" i="58"/>
  <c r="AH282" i="58"/>
  <c r="AD282" i="58"/>
  <c r="AF282" i="58"/>
  <c r="AE282" i="58"/>
  <c r="AC282" i="58"/>
  <c r="AJ282" i="58" s="1"/>
  <c r="AI282" i="58"/>
  <c r="AG282" i="58"/>
  <c r="AI224" i="58"/>
  <c r="AJ224" i="58"/>
  <c r="AC224" i="58"/>
  <c r="AG224" i="58"/>
  <c r="AF224" i="58"/>
  <c r="AH224" i="58"/>
  <c r="AE224" i="58"/>
  <c r="AD224" i="58"/>
  <c r="AK224" i="58" s="1"/>
  <c r="AE316" i="58"/>
  <c r="AG316" i="58"/>
  <c r="AJ316" i="58"/>
  <c r="AK316" i="58"/>
  <c r="AF316" i="58"/>
  <c r="AD316" i="58"/>
  <c r="AI316" i="58"/>
  <c r="AC316" i="58"/>
  <c r="AH209" i="58"/>
  <c r="AI209" i="58"/>
  <c r="AC209" i="58"/>
  <c r="AN209" i="58"/>
  <c r="AD209" i="58"/>
  <c r="AK209" i="58" s="1"/>
  <c r="AG209" i="58"/>
  <c r="AF209" i="58"/>
  <c r="AE209" i="58"/>
  <c r="AJ209" i="58"/>
  <c r="AG274" i="58"/>
  <c r="AC274" i="58"/>
  <c r="AH274" i="58"/>
  <c r="AE274" i="58"/>
  <c r="AI274" i="58"/>
  <c r="AJ274" i="58"/>
  <c r="AF274" i="58"/>
  <c r="AK274" i="58"/>
  <c r="AD274" i="58"/>
  <c r="AJ312" i="58"/>
  <c r="AG312" i="58"/>
  <c r="AF312" i="58"/>
  <c r="AI312" i="58"/>
  <c r="AH312" i="58"/>
  <c r="AD312" i="58"/>
  <c r="AK312" i="58" s="1"/>
  <c r="AC312" i="58"/>
  <c r="AE312" i="58"/>
  <c r="AH190" i="58"/>
  <c r="AE190" i="58"/>
  <c r="AD190" i="58"/>
  <c r="AF190" i="58"/>
  <c r="AJ190" i="58"/>
  <c r="AK190" i="58"/>
  <c r="AG190" i="58"/>
  <c r="AC190" i="58"/>
  <c r="AK216" i="58"/>
  <c r="AH216" i="58"/>
  <c r="AC216" i="58"/>
  <c r="AJ216" i="58" s="1"/>
  <c r="AE216" i="58"/>
  <c r="AD216" i="58"/>
  <c r="AF216" i="58"/>
  <c r="AG216" i="58"/>
  <c r="AF197" i="58"/>
  <c r="AI197" i="58"/>
  <c r="AE197" i="58"/>
  <c r="AG197" i="58"/>
  <c r="AD197" i="58"/>
  <c r="AK197" i="58" s="1"/>
  <c r="AC197" i="58"/>
  <c r="AJ197" i="58" s="1"/>
  <c r="AH197" i="58"/>
  <c r="AI214" i="58"/>
  <c r="AK214" i="58"/>
  <c r="AD214" i="58"/>
  <c r="AC214" i="58"/>
  <c r="AJ214" i="58" s="1"/>
  <c r="AE214" i="58"/>
  <c r="AF214" i="58"/>
  <c r="AG214" i="58"/>
  <c r="AK170" i="58"/>
  <c r="AG170" i="58"/>
  <c r="AD170" i="58"/>
  <c r="AI170" i="58"/>
  <c r="AF170" i="58"/>
  <c r="AC170" i="58"/>
  <c r="AJ170" i="58" s="1"/>
  <c r="AE170" i="58"/>
  <c r="AH285" i="58"/>
  <c r="AF285" i="58"/>
  <c r="AE285" i="58"/>
  <c r="AG285" i="58"/>
  <c r="AI285" i="58"/>
  <c r="AD285" i="58"/>
  <c r="AC285" i="58"/>
  <c r="AJ285" i="58" s="1"/>
  <c r="AK285" i="58"/>
  <c r="AE268" i="58"/>
  <c r="AF268" i="58"/>
  <c r="AD268" i="58"/>
  <c r="AH268" i="58"/>
  <c r="AI268" i="58"/>
  <c r="AG268" i="58"/>
  <c r="AC268" i="58"/>
  <c r="AJ268" i="58" s="1"/>
  <c r="AI314" i="58"/>
  <c r="AF314" i="58"/>
  <c r="AE314" i="58"/>
  <c r="AD314" i="58"/>
  <c r="AK314" i="58" s="1"/>
  <c r="AG314" i="58"/>
  <c r="AC314" i="58"/>
  <c r="AJ314" i="58" s="1"/>
  <c r="AH314" i="58"/>
  <c r="AH203" i="58"/>
  <c r="AD203" i="58"/>
  <c r="AI203" i="58"/>
  <c r="AF203" i="58"/>
  <c r="AG203" i="58"/>
  <c r="AC203" i="58"/>
  <c r="AJ203" i="58" s="1"/>
  <c r="AE203" i="58"/>
  <c r="AC177" i="58"/>
  <c r="AJ177" i="58" s="1"/>
  <c r="AK177" i="58"/>
  <c r="AE177" i="58"/>
  <c r="AD177" i="58"/>
  <c r="AF177" i="58"/>
  <c r="AH177" i="58"/>
  <c r="AI177" i="58"/>
  <c r="AG177" i="58"/>
  <c r="AG169" i="58"/>
  <c r="AJ169" i="58"/>
  <c r="AH169" i="58"/>
  <c r="AK169" i="58"/>
  <c r="AD169" i="58"/>
  <c r="AF169" i="58"/>
  <c r="AE169" i="58"/>
  <c r="AC169" i="58"/>
  <c r="AI300" i="58"/>
  <c r="AF300" i="58"/>
  <c r="AC300" i="58"/>
  <c r="AJ300" i="58" s="1"/>
  <c r="AH300" i="58"/>
  <c r="AG300" i="58"/>
  <c r="AE300" i="58"/>
  <c r="AD300" i="58"/>
  <c r="AK300" i="58" s="1"/>
  <c r="AF272" i="58"/>
  <c r="AC272" i="58"/>
  <c r="AJ272" i="58" s="1"/>
  <c r="AE272" i="58"/>
  <c r="AG272" i="58"/>
  <c r="AH272" i="58"/>
  <c r="AD272" i="58"/>
  <c r="AK272" i="58" s="1"/>
  <c r="AJ223" i="58"/>
  <c r="AG223" i="58"/>
  <c r="AD223" i="58"/>
  <c r="AH223" i="58"/>
  <c r="AI223" i="58"/>
  <c r="AF223" i="58"/>
  <c r="AE223" i="58"/>
  <c r="AK223" i="58"/>
  <c r="AC223" i="58"/>
  <c r="AJ161" i="58"/>
  <c r="AF161" i="58"/>
  <c r="AE161" i="58"/>
  <c r="AI161" i="58"/>
  <c r="AH161" i="58"/>
  <c r="AK161" i="58"/>
  <c r="AD161" i="58"/>
  <c r="AC161" i="58"/>
  <c r="AG161" i="58"/>
  <c r="AH204" i="58"/>
  <c r="AE204" i="58"/>
  <c r="AD204" i="58"/>
  <c r="AF204" i="58"/>
  <c r="AC204" i="58"/>
  <c r="AJ204" i="58" s="1"/>
  <c r="AG204" i="58"/>
  <c r="AK204" i="58"/>
  <c r="AE191" i="58"/>
  <c r="AF191" i="58"/>
  <c r="AJ191" i="58"/>
  <c r="AH191" i="58"/>
  <c r="AI191" i="58"/>
  <c r="AD191" i="58"/>
  <c r="AK191" i="58" s="1"/>
  <c r="AC191" i="58"/>
  <c r="AG191" i="58"/>
  <c r="AH167" i="58"/>
  <c r="AK167" i="58"/>
  <c r="AD167" i="58"/>
  <c r="AG167" i="58"/>
  <c r="AE167" i="58"/>
  <c r="AC167" i="58"/>
  <c r="AJ167" i="58"/>
  <c r="AF167" i="58"/>
  <c r="AI167" i="58"/>
  <c r="AI297" i="58"/>
  <c r="AD297" i="58"/>
  <c r="AK297" i="58" s="1"/>
  <c r="AJ297" i="58"/>
  <c r="AF297" i="58"/>
  <c r="AE297" i="58"/>
  <c r="AG297" i="58"/>
  <c r="AC297" i="58"/>
  <c r="AG165" i="58"/>
  <c r="AH165" i="58"/>
  <c r="AD165" i="58"/>
  <c r="AK165" i="58" s="1"/>
  <c r="AI165" i="58"/>
  <c r="AC165" i="58"/>
  <c r="AJ165" i="58" s="1"/>
  <c r="AE165" i="58"/>
  <c r="AF165" i="58"/>
  <c r="AG318" i="58"/>
  <c r="AD318" i="58"/>
  <c r="AI318" i="58"/>
  <c r="AH318" i="58"/>
  <c r="AE318" i="58"/>
  <c r="AJ318" i="58"/>
  <c r="AF318" i="58"/>
  <c r="AC318" i="58"/>
  <c r="AC271" i="58"/>
  <c r="AJ271" i="58" s="1"/>
  <c r="AG271" i="58"/>
  <c r="AN271" i="58" s="1"/>
  <c r="AI271" i="58"/>
  <c r="AF271" i="58"/>
  <c r="AE271" i="58"/>
  <c r="AD271" i="58"/>
  <c r="AK271" i="58" s="1"/>
  <c r="AH291" i="58"/>
  <c r="AI291" i="58"/>
  <c r="AE291" i="58"/>
  <c r="AF291" i="58"/>
  <c r="AD291" i="58"/>
  <c r="AG291" i="58"/>
  <c r="AJ291" i="58"/>
  <c r="AK291" i="58"/>
  <c r="AC291" i="58"/>
  <c r="AI159" i="58"/>
  <c r="AC159" i="58"/>
  <c r="AJ159" i="58" s="1"/>
  <c r="AE159" i="58"/>
  <c r="AD159" i="58"/>
  <c r="AK159" i="58" s="1"/>
  <c r="AH159" i="58"/>
  <c r="AG159" i="58"/>
  <c r="AF159" i="58"/>
  <c r="AH263" i="58"/>
  <c r="AI263" i="58"/>
  <c r="AE263" i="58"/>
  <c r="AL263" i="58" s="1"/>
  <c r="AJ263" i="58"/>
  <c r="AG263" i="58"/>
  <c r="AF263" i="58"/>
  <c r="AD263" i="58"/>
  <c r="AC263" i="58"/>
  <c r="AI258" i="58"/>
  <c r="AF258" i="58"/>
  <c r="AJ258" i="58"/>
  <c r="AC258" i="58"/>
  <c r="AH258" i="58"/>
  <c r="AG258" i="58"/>
  <c r="AD258" i="58"/>
  <c r="AK258" i="58" s="1"/>
  <c r="AE258" i="58"/>
  <c r="AG310" i="58"/>
  <c r="AH310" i="58"/>
  <c r="AJ310" i="58"/>
  <c r="AF310" i="58"/>
  <c r="AC310" i="58"/>
  <c r="AD310" i="58"/>
  <c r="AK310" i="58" s="1"/>
  <c r="AI310" i="58"/>
  <c r="AE310" i="58"/>
  <c r="AM278" i="58"/>
  <c r="AD278" i="58"/>
  <c r="AH278" i="58"/>
  <c r="AI278" i="58"/>
  <c r="AK278" i="58"/>
  <c r="AG278" i="58"/>
  <c r="AC278" i="58"/>
  <c r="AJ278" i="58"/>
  <c r="AF278" i="58"/>
  <c r="AE278" i="58"/>
  <c r="AG287" i="58"/>
  <c r="AC287" i="58"/>
  <c r="AJ287" i="58"/>
  <c r="AD287" i="58"/>
  <c r="AF287" i="58"/>
  <c r="AK287" i="58"/>
  <c r="AH287" i="58"/>
  <c r="AE287" i="58"/>
  <c r="AG281" i="58"/>
  <c r="AD281" i="58"/>
  <c r="AK281" i="58" s="1"/>
  <c r="AF281" i="58"/>
  <c r="AE281" i="58"/>
  <c r="AI281" i="58"/>
  <c r="AJ281" i="58"/>
  <c r="AC281" i="58"/>
  <c r="AH281" i="58"/>
  <c r="AH277" i="58"/>
  <c r="AI277" i="58"/>
  <c r="AE277" i="58"/>
  <c r="AK277" i="58"/>
  <c r="AC277" i="58"/>
  <c r="AJ277" i="58" s="1"/>
  <c r="AF277" i="58"/>
  <c r="AD277" i="58"/>
  <c r="AG277" i="58"/>
  <c r="AI280" i="58"/>
  <c r="AF280" i="58"/>
  <c r="AD280" i="58"/>
  <c r="AK280" i="58" s="1"/>
  <c r="AE280" i="58"/>
  <c r="AG280" i="58"/>
  <c r="AC280" i="58"/>
  <c r="AJ280" i="58" s="1"/>
  <c r="AH280" i="58"/>
  <c r="AF311" i="58"/>
  <c r="AI311" i="58"/>
  <c r="AH311" i="58"/>
  <c r="AG311" i="58"/>
  <c r="AE311" i="58"/>
  <c r="AD311" i="58"/>
  <c r="AC311" i="58"/>
  <c r="AJ311" i="58"/>
  <c r="AK311" i="58"/>
  <c r="AG262" i="58"/>
  <c r="AE262" i="58"/>
  <c r="AH262" i="58"/>
  <c r="AI262" i="58"/>
  <c r="AF262" i="58"/>
  <c r="AD262" i="58"/>
  <c r="AC262" i="58"/>
  <c r="AJ262" i="58" s="1"/>
  <c r="AE219" i="58"/>
  <c r="AF219" i="58"/>
  <c r="AG219" i="58"/>
  <c r="AD219" i="58"/>
  <c r="AH219" i="58"/>
  <c r="AI219" i="58"/>
  <c r="AK219" i="58"/>
  <c r="AC219" i="58"/>
  <c r="AJ219" i="58" s="1"/>
  <c r="AG301" i="58"/>
  <c r="AJ301" i="58"/>
  <c r="AE301" i="58"/>
  <c r="AI301" i="58"/>
  <c r="AF301" i="58"/>
  <c r="AC301" i="58"/>
  <c r="AD301" i="58"/>
  <c r="AK301" i="58" s="1"/>
  <c r="AF188" i="58"/>
  <c r="AH188" i="58"/>
  <c r="AJ188" i="58"/>
  <c r="AD188" i="58"/>
  <c r="AK188" i="58" s="1"/>
  <c r="AE188" i="58"/>
  <c r="AG188" i="58"/>
  <c r="AC188" i="58"/>
  <c r="AG295" i="58"/>
  <c r="AC295" i="58"/>
  <c r="AH295" i="58"/>
  <c r="AI295" i="58"/>
  <c r="AF295" i="58"/>
  <c r="AD295" i="58"/>
  <c r="AK295" i="58" s="1"/>
  <c r="AJ295" i="58"/>
  <c r="AE295" i="58"/>
  <c r="AG320" i="58"/>
  <c r="AE320" i="58"/>
  <c r="AL320" i="58" s="1"/>
  <c r="AK320" i="58"/>
  <c r="AI320" i="58"/>
  <c r="AD320" i="58"/>
  <c r="AC320" i="58"/>
  <c r="AJ320" i="58" s="1"/>
  <c r="AF320" i="58"/>
  <c r="AG206" i="58"/>
  <c r="AH206" i="58"/>
  <c r="AC206" i="58"/>
  <c r="AF206" i="58"/>
  <c r="AM206" i="58" s="1"/>
  <c r="AE206" i="58"/>
  <c r="AI206" i="58"/>
  <c r="AJ206" i="58"/>
  <c r="AD206" i="58"/>
  <c r="AK206" i="58" s="1"/>
  <c r="AH213" i="58"/>
  <c r="AG213" i="58"/>
  <c r="AN213" i="58" s="1"/>
  <c r="AC213" i="58"/>
  <c r="AJ213" i="58" s="1"/>
  <c r="AI213" i="58"/>
  <c r="AD213" i="58"/>
  <c r="AK213" i="58" s="1"/>
  <c r="AF213" i="58"/>
  <c r="AE213" i="58"/>
  <c r="AC207" i="58"/>
  <c r="AG207" i="58"/>
  <c r="AJ207" i="58"/>
  <c r="AF207" i="58"/>
  <c r="AE207" i="58"/>
  <c r="AD207" i="58"/>
  <c r="AK207" i="58" s="1"/>
  <c r="AH207" i="58"/>
  <c r="AH267" i="58"/>
  <c r="AK267" i="58"/>
  <c r="AI267" i="58"/>
  <c r="AD267" i="58"/>
  <c r="AG267" i="58"/>
  <c r="AC267" i="58"/>
  <c r="AJ267" i="58" s="1"/>
  <c r="AF267" i="58"/>
  <c r="AE267" i="58"/>
  <c r="AH180" i="58"/>
  <c r="AK180" i="58"/>
  <c r="AI180" i="58"/>
  <c r="AC180" i="58"/>
  <c r="AJ180" i="58" s="1"/>
  <c r="AG180" i="58"/>
  <c r="AE180" i="58"/>
  <c r="AF180" i="58"/>
  <c r="AD180" i="58"/>
  <c r="AG201" i="58"/>
  <c r="AD201" i="58"/>
  <c r="AF201" i="58"/>
  <c r="AH201" i="58"/>
  <c r="AI201" i="58"/>
  <c r="AC201" i="58"/>
  <c r="AJ201" i="58" s="1"/>
  <c r="AE201" i="58"/>
  <c r="AI176" i="58"/>
  <c r="AE176" i="58"/>
  <c r="AH176" i="58"/>
  <c r="AC176" i="58"/>
  <c r="AF176" i="58"/>
  <c r="AG176" i="58"/>
  <c r="AJ176" i="58"/>
  <c r="AD176" i="58"/>
  <c r="AK176" i="58" s="1"/>
  <c r="AN220" i="58"/>
  <c r="AF220" i="58"/>
  <c r="AI220" i="58"/>
  <c r="AG220" i="58"/>
  <c r="AD220" i="58"/>
  <c r="AK220" i="58" s="1"/>
  <c r="AC220" i="58"/>
  <c r="AJ220" i="58" s="1"/>
  <c r="AH220" i="58"/>
  <c r="AE220" i="58"/>
  <c r="AL220" i="58" s="1"/>
  <c r="AH284" i="58"/>
  <c r="AG284" i="58"/>
  <c r="AE284" i="58"/>
  <c r="AD284" i="58"/>
  <c r="AF284" i="58"/>
  <c r="AC284" i="58"/>
  <c r="AJ284" i="58" s="1"/>
  <c r="AI284" i="58"/>
  <c r="AK284" i="58"/>
  <c r="AG296" i="58"/>
  <c r="AD296" i="58"/>
  <c r="AH296" i="58"/>
  <c r="AF296" i="58"/>
  <c r="AM296" i="58" s="1"/>
  <c r="AI296" i="58"/>
  <c r="AJ296" i="58"/>
  <c r="AK296" i="58"/>
  <c r="AC296" i="58"/>
  <c r="AE296" i="58"/>
  <c r="AI171" i="58"/>
  <c r="AG171" i="58"/>
  <c r="AD171" i="58"/>
  <c r="AF171" i="58"/>
  <c r="AC171" i="58"/>
  <c r="AH171" i="58"/>
  <c r="AJ171" i="58"/>
  <c r="AK171" i="58"/>
  <c r="AE171" i="58"/>
  <c r="AL171" i="58" s="1"/>
  <c r="AH324" i="58"/>
  <c r="AC324" i="58"/>
  <c r="AJ324" i="58" s="1"/>
  <c r="AI324" i="58"/>
  <c r="AG324" i="58"/>
  <c r="AF324" i="58"/>
  <c r="AD324" i="58"/>
  <c r="AK324" i="58" s="1"/>
  <c r="AE324" i="58"/>
  <c r="AK306" i="58"/>
  <c r="AF306" i="58"/>
  <c r="AG306" i="58"/>
  <c r="AE306" i="58"/>
  <c r="AC306" i="58"/>
  <c r="AD306" i="58"/>
  <c r="AI306" i="58"/>
  <c r="AJ306" i="58"/>
  <c r="AH306" i="58"/>
  <c r="AH183" i="58"/>
  <c r="AI183" i="58"/>
  <c r="AD183" i="58"/>
  <c r="AE183" i="58"/>
  <c r="AF183" i="58"/>
  <c r="AG183" i="58"/>
  <c r="AK183" i="58"/>
  <c r="AC183" i="58"/>
  <c r="AJ183" i="58" s="1"/>
  <c r="AK273" i="58"/>
  <c r="AH273" i="58"/>
  <c r="AF273" i="58"/>
  <c r="AI273" i="58"/>
  <c r="AC273" i="58"/>
  <c r="AJ273" i="58"/>
  <c r="AG273" i="58"/>
  <c r="AN273" i="58"/>
  <c r="AE273" i="58"/>
  <c r="AD273" i="58"/>
  <c r="AH160" i="58"/>
  <c r="AD160" i="58"/>
  <c r="AE160" i="58"/>
  <c r="AG160" i="58"/>
  <c r="AC160" i="58"/>
  <c r="AJ160" i="58" s="1"/>
  <c r="AI160" i="58"/>
  <c r="AK160" i="58"/>
  <c r="AF160" i="58"/>
  <c r="AF283" i="58"/>
  <c r="AE283" i="58"/>
  <c r="AD283" i="58"/>
  <c r="AI283" i="58"/>
  <c r="AJ283" i="58"/>
  <c r="AG283" i="58"/>
  <c r="AN283" i="58" s="1"/>
  <c r="AC283" i="58"/>
  <c r="AH283" i="58"/>
  <c r="AF157" i="58"/>
  <c r="AI157" i="58"/>
  <c r="AG157" i="58"/>
  <c r="AE157" i="58"/>
  <c r="AD157" i="58"/>
  <c r="AK157" i="58" s="1"/>
  <c r="AC157" i="58"/>
  <c r="AJ157" i="58" s="1"/>
  <c r="AH210" i="58"/>
  <c r="AG210" i="58"/>
  <c r="AC210" i="58"/>
  <c r="AI210" i="58"/>
  <c r="AD210" i="58"/>
  <c r="AJ210" i="58"/>
  <c r="AF210" i="58"/>
  <c r="AK210" i="58"/>
  <c r="AE210" i="58"/>
  <c r="AK288" i="58"/>
  <c r="AJ288" i="58"/>
  <c r="AD288" i="58"/>
  <c r="AG288" i="58"/>
  <c r="AC288" i="58"/>
  <c r="AF288" i="58"/>
  <c r="AH288" i="58"/>
  <c r="AE288" i="58"/>
  <c r="AI288" i="58"/>
  <c r="AM288" i="58"/>
  <c r="AI259" i="58"/>
  <c r="AK259" i="58"/>
  <c r="AD259" i="58"/>
  <c r="AF259" i="58"/>
  <c r="AM259" i="58" s="1"/>
  <c r="AC259" i="58"/>
  <c r="AG259" i="58"/>
  <c r="AJ259" i="58"/>
  <c r="AE259" i="58"/>
  <c r="AL259" i="58" s="1"/>
  <c r="AH259" i="58"/>
  <c r="AF202" i="58"/>
  <c r="AH202" i="58"/>
  <c r="AG202" i="58"/>
  <c r="AN202" i="58" s="1"/>
  <c r="AD202" i="58"/>
  <c r="AJ202" i="58"/>
  <c r="AE202" i="58"/>
  <c r="AI202" i="58"/>
  <c r="AC202" i="58"/>
  <c r="AK202" i="58"/>
  <c r="AL304" i="58"/>
  <c r="AF304" i="58"/>
  <c r="AC304" i="58"/>
  <c r="AJ304" i="58"/>
  <c r="AK304" i="58"/>
  <c r="AH304" i="58"/>
  <c r="AD304" i="58"/>
  <c r="AI304" i="58"/>
  <c r="AG304" i="58"/>
  <c r="AE304" i="58"/>
  <c r="AI173" i="58"/>
  <c r="AD173" i="58"/>
  <c r="AH173" i="58"/>
  <c r="AG173" i="58"/>
  <c r="AK173" i="58"/>
  <c r="AN173" i="58"/>
  <c r="AF173" i="58"/>
  <c r="AC173" i="58"/>
  <c r="AJ173" i="58" s="1"/>
  <c r="AE173" i="58"/>
  <c r="AG269" i="58"/>
  <c r="AK269" i="58"/>
  <c r="AE269" i="58"/>
  <c r="AF269" i="58"/>
  <c r="AD269" i="58"/>
  <c r="AI269" i="58"/>
  <c r="AC269" i="58"/>
  <c r="AJ269" i="58" s="1"/>
  <c r="AC179" i="58"/>
  <c r="AH179" i="58"/>
  <c r="AF179" i="58"/>
  <c r="AE179" i="58"/>
  <c r="AJ179" i="58"/>
  <c r="AD179" i="58"/>
  <c r="AK179" i="58" s="1"/>
  <c r="AI179" i="58"/>
  <c r="AG179" i="58"/>
  <c r="AL261" i="58"/>
  <c r="AG261" i="58"/>
  <c r="AC261" i="58"/>
  <c r="AJ261" i="58" s="1"/>
  <c r="AD261" i="58"/>
  <c r="AK261" i="58" s="1"/>
  <c r="AE261" i="58"/>
  <c r="AH261" i="58"/>
  <c r="AI261" i="58"/>
  <c r="AF261" i="58"/>
  <c r="AE275" i="58"/>
  <c r="AI275" i="58"/>
  <c r="AC275" i="58"/>
  <c r="AJ275" i="58" s="1"/>
  <c r="AF275" i="58"/>
  <c r="AH275" i="58"/>
  <c r="AD275" i="58"/>
  <c r="AK275" i="58" s="1"/>
  <c r="AG275" i="58"/>
  <c r="AG211" i="58"/>
  <c r="AI211" i="58"/>
  <c r="AN211" i="58"/>
  <c r="AC211" i="58"/>
  <c r="AJ211" i="58" s="1"/>
  <c r="AH211" i="58"/>
  <c r="AF211" i="58"/>
  <c r="AM211" i="58" s="1"/>
  <c r="AE211" i="58"/>
  <c r="AD211" i="58"/>
  <c r="AK211" i="58" s="1"/>
  <c r="AJ163" i="58"/>
  <c r="AI163" i="58"/>
  <c r="AE163" i="58"/>
  <c r="AF163" i="58"/>
  <c r="AM163" i="58"/>
  <c r="AC163" i="58"/>
  <c r="AH163" i="58"/>
  <c r="AD163" i="58"/>
  <c r="AK163" i="58" s="1"/>
  <c r="AG163" i="58"/>
  <c r="AN163" i="58" s="1"/>
  <c r="AN292" i="58"/>
  <c r="AE292" i="58"/>
  <c r="AL292" i="58" s="1"/>
  <c r="AF292" i="58"/>
  <c r="AG292" i="58"/>
  <c r="AC292" i="58"/>
  <c r="AK292" i="58"/>
  <c r="AJ292" i="58"/>
  <c r="AD292" i="58"/>
  <c r="AI292" i="58"/>
  <c r="AL182" i="58"/>
  <c r="AI182" i="58"/>
  <c r="AJ182" i="58"/>
  <c r="AF182" i="58"/>
  <c r="AH182" i="58"/>
  <c r="AC182" i="58"/>
  <c r="AE182" i="58"/>
  <c r="AG182" i="58"/>
  <c r="AD182" i="58"/>
  <c r="AK182" i="58" s="1"/>
  <c r="AG178" i="58"/>
  <c r="AH178" i="58"/>
  <c r="AC178" i="58"/>
  <c r="AJ178" i="58" s="1"/>
  <c r="AI178" i="58"/>
  <c r="AE178" i="58"/>
  <c r="AF178" i="58"/>
  <c r="AK178" i="58"/>
  <c r="AD178" i="58"/>
  <c r="AD260" i="58"/>
  <c r="AK260" i="58" s="1"/>
  <c r="AC260" i="58"/>
  <c r="AJ260" i="58" s="1"/>
  <c r="AE260" i="58"/>
  <c r="AI260" i="58"/>
  <c r="AH260" i="58"/>
  <c r="AG260" i="58"/>
  <c r="AF260" i="58"/>
  <c r="AM260" i="58" s="1"/>
  <c r="AC299" i="58"/>
  <c r="AI299" i="58"/>
  <c r="AE299" i="58"/>
  <c r="AD299" i="58"/>
  <c r="AK299" i="58" s="1"/>
  <c r="AJ299" i="58"/>
  <c r="AG299" i="58"/>
  <c r="AF299" i="58"/>
  <c r="AF189" i="58"/>
  <c r="AH189" i="58"/>
  <c r="AD189" i="58"/>
  <c r="AE189" i="58"/>
  <c r="AL189" i="58" s="1"/>
  <c r="AK189" i="58"/>
  <c r="AG189" i="58"/>
  <c r="AC189" i="58"/>
  <c r="AJ189" i="58" s="1"/>
  <c r="AD317" i="58"/>
  <c r="AK317" i="58" s="1"/>
  <c r="AI317" i="58"/>
  <c r="AJ317" i="58"/>
  <c r="AG317" i="58"/>
  <c r="AF317" i="58"/>
  <c r="AH317" i="58"/>
  <c r="AC317" i="58"/>
  <c r="AE317" i="58"/>
  <c r="AM187" i="58"/>
  <c r="AC187" i="58"/>
  <c r="AJ187" i="58"/>
  <c r="AI187" i="58"/>
  <c r="AH187" i="58"/>
  <c r="AG187" i="58"/>
  <c r="AF187" i="58"/>
  <c r="AD187" i="58"/>
  <c r="AK187" i="58" s="1"/>
  <c r="AE187" i="58"/>
  <c r="AN187" i="58"/>
  <c r="AD313" i="58"/>
  <c r="AK313" i="58" s="1"/>
  <c r="AG313" i="58"/>
  <c r="AH313" i="58"/>
  <c r="AC313" i="58"/>
  <c r="AJ313" i="58" s="1"/>
  <c r="AF313" i="58"/>
  <c r="AM313" i="58" s="1"/>
  <c r="AI313" i="58"/>
  <c r="AE313" i="58"/>
  <c r="AH158" i="58"/>
  <c r="AF158" i="58"/>
  <c r="AE158" i="58"/>
  <c r="AD158" i="58"/>
  <c r="AK158" i="58" s="1"/>
  <c r="AI158" i="58"/>
  <c r="AC158" i="58"/>
  <c r="AJ158" i="58" s="1"/>
  <c r="AG158" i="58"/>
  <c r="AN158" i="58" s="1"/>
  <c r="AH315" i="58"/>
  <c r="AF315" i="58"/>
  <c r="AE315" i="58"/>
  <c r="AL315" i="58" s="1"/>
  <c r="AG315" i="58"/>
  <c r="AD315" i="58"/>
  <c r="AK315" i="58"/>
  <c r="AJ315" i="58"/>
  <c r="AI315" i="58"/>
  <c r="AC315" i="58"/>
  <c r="AL308" i="58"/>
  <c r="AG308" i="58"/>
  <c r="AC308" i="58"/>
  <c r="AJ308" i="58" s="1"/>
  <c r="AH308" i="58"/>
  <c r="AI308" i="58"/>
  <c r="AD308" i="58"/>
  <c r="AK308" i="58" s="1"/>
  <c r="AF308" i="58"/>
  <c r="AE308" i="58"/>
  <c r="AL309" i="58"/>
  <c r="AG309" i="58"/>
  <c r="AC309" i="58"/>
  <c r="AJ309" i="58" s="1"/>
  <c r="AD309" i="58"/>
  <c r="AK309" i="58" s="1"/>
  <c r="AN309" i="58"/>
  <c r="AE309" i="58"/>
  <c r="AF309" i="58"/>
  <c r="AH309" i="58"/>
  <c r="AI309" i="58"/>
  <c r="AK194" i="58"/>
  <c r="AG194" i="58"/>
  <c r="AD194" i="58"/>
  <c r="AE194" i="58"/>
  <c r="AH194" i="58"/>
  <c r="AF194" i="58"/>
  <c r="AM194" i="58" s="1"/>
  <c r="AI194" i="58"/>
  <c r="AC194" i="58"/>
  <c r="AJ194" i="58" s="1"/>
  <c r="AD307" i="58"/>
  <c r="AK307" i="58" s="1"/>
  <c r="AG307" i="58"/>
  <c r="AH307" i="58"/>
  <c r="AI307" i="58"/>
  <c r="AE307" i="58"/>
  <c r="AL307" i="58" s="1"/>
  <c r="AM307" i="58"/>
  <c r="AC307" i="58"/>
  <c r="AJ307" i="58" s="1"/>
  <c r="AF307" i="58"/>
  <c r="AC215" i="58"/>
  <c r="AN215" i="58"/>
  <c r="AI215" i="58"/>
  <c r="AH215" i="58"/>
  <c r="AJ215" i="58"/>
  <c r="AE215" i="58"/>
  <c r="AD215" i="58"/>
  <c r="AG215" i="58"/>
  <c r="AF215" i="58"/>
  <c r="AM215" i="58" s="1"/>
  <c r="AK215" i="58"/>
  <c r="AG212" i="58"/>
  <c r="AH212" i="58"/>
  <c r="AC212" i="58"/>
  <c r="AJ212" i="58" s="1"/>
  <c r="AK212" i="58"/>
  <c r="AF212" i="58"/>
  <c r="AE212" i="58"/>
  <c r="AD212" i="58"/>
  <c r="AF222" i="58"/>
  <c r="AM222" i="58" s="1"/>
  <c r="AE222" i="58"/>
  <c r="AJ222" i="58"/>
  <c r="AK222" i="58"/>
  <c r="AC222" i="58"/>
  <c r="AI222" i="58"/>
  <c r="AL222" i="58"/>
  <c r="AG222" i="58"/>
  <c r="AH222" i="58"/>
  <c r="AD222" i="58"/>
  <c r="AI186" i="58"/>
  <c r="AK186" i="58"/>
  <c r="AG186" i="58"/>
  <c r="AN186" i="58" s="1"/>
  <c r="AF186" i="58"/>
  <c r="AC186" i="58"/>
  <c r="AJ186" i="58" s="1"/>
  <c r="AL186" i="58"/>
  <c r="AH186" i="58"/>
  <c r="AD186" i="58"/>
  <c r="AE186" i="58"/>
  <c r="AK286" i="58"/>
  <c r="AG286" i="58"/>
  <c r="AF286" i="58"/>
  <c r="AM286" i="58" s="1"/>
  <c r="AC286" i="58"/>
  <c r="AD286" i="58"/>
  <c r="AH286" i="58"/>
  <c r="AI286" i="58"/>
  <c r="AJ286" i="58"/>
  <c r="AE286" i="58"/>
  <c r="AN208" i="58"/>
  <c r="AH208" i="58"/>
  <c r="AC208" i="58"/>
  <c r="AJ208" i="58" s="1"/>
  <c r="AF208" i="58"/>
  <c r="AE208" i="58"/>
  <c r="AD208" i="58"/>
  <c r="AK208" i="58" s="1"/>
  <c r="AG208" i="58"/>
  <c r="AI208" i="58"/>
  <c r="AG290" i="58"/>
  <c r="AI290" i="58"/>
  <c r="AK290" i="58"/>
  <c r="AH290" i="58"/>
  <c r="AM290" i="58"/>
  <c r="AF290" i="58"/>
  <c r="AE290" i="58"/>
  <c r="AC290" i="58"/>
  <c r="AJ290" i="58" s="1"/>
  <c r="AD290" i="58"/>
  <c r="AH221" i="58"/>
  <c r="AF221" i="58"/>
  <c r="AM221" i="58" s="1"/>
  <c r="AI221" i="58"/>
  <c r="AJ221" i="58"/>
  <c r="AE221" i="58"/>
  <c r="AL221" i="58" s="1"/>
  <c r="AG221" i="58"/>
  <c r="AN221" i="58" s="1"/>
  <c r="AC221" i="58"/>
  <c r="AK221" i="58"/>
  <c r="AD221" i="58"/>
  <c r="AH195" i="58"/>
  <c r="AD195" i="58"/>
  <c r="AI195" i="58"/>
  <c r="AJ195" i="58"/>
  <c r="AK195" i="58"/>
  <c r="AC195" i="58"/>
  <c r="AG195" i="58"/>
  <c r="AE195" i="58"/>
  <c r="AF195" i="58"/>
  <c r="AM195" i="58" s="1"/>
  <c r="AN323" i="58"/>
  <c r="AC323" i="58"/>
  <c r="AJ323" i="58"/>
  <c r="AG323" i="58"/>
  <c r="AF323" i="58"/>
  <c r="AD323" i="58"/>
  <c r="AK323" i="58" s="1"/>
  <c r="AE323" i="58"/>
  <c r="AH323" i="58"/>
  <c r="AI323" i="58"/>
  <c r="AH184" i="58"/>
  <c r="AN184" i="58"/>
  <c r="AD184" i="58"/>
  <c r="AK184" i="58" s="1"/>
  <c r="AF184" i="58"/>
  <c r="AE184" i="58"/>
  <c r="AG184" i="58"/>
  <c r="AI184" i="58"/>
  <c r="AC184" i="58"/>
  <c r="AJ184" i="58" s="1"/>
  <c r="AD279" i="58"/>
  <c r="AI279" i="58"/>
  <c r="AH279" i="58"/>
  <c r="AK279" i="58"/>
  <c r="AG279" i="58"/>
  <c r="AN279" i="58" s="1"/>
  <c r="AC279" i="58"/>
  <c r="AJ279" i="58" s="1"/>
  <c r="AE279" i="58"/>
  <c r="AF279" i="58"/>
  <c r="AM279" i="58" s="1"/>
  <c r="AC294" i="58"/>
  <c r="AJ294" i="58" s="1"/>
  <c r="AH294" i="58"/>
  <c r="AK294" i="58"/>
  <c r="AL294" i="58"/>
  <c r="AD294" i="58"/>
  <c r="AG294" i="58"/>
  <c r="AN294" i="58" s="1"/>
  <c r="AE294" i="58"/>
  <c r="AF294" i="58"/>
  <c r="AI294" i="58"/>
  <c r="AH217" i="58"/>
  <c r="AK217" i="58"/>
  <c r="AF217" i="58"/>
  <c r="AM217" i="58" s="1"/>
  <c r="AG217" i="58"/>
  <c r="AC217" i="58"/>
  <c r="AJ217" i="58" s="1"/>
  <c r="AI217" i="58"/>
  <c r="AE217" i="58"/>
  <c r="AL217" i="58" s="1"/>
  <c r="AD217" i="58"/>
  <c r="AJ266" i="58"/>
  <c r="AC266" i="58"/>
  <c r="AH266" i="58"/>
  <c r="AN266" i="58"/>
  <c r="AD266" i="58"/>
  <c r="AK266" i="58" s="1"/>
  <c r="AG266" i="58"/>
  <c r="AF266" i="58"/>
  <c r="AM266" i="58" s="1"/>
  <c r="AI266" i="58"/>
  <c r="AE266" i="58"/>
  <c r="AF302" i="58"/>
  <c r="AM302" i="58" s="1"/>
  <c r="AC302" i="58"/>
  <c r="AG302" i="58"/>
  <c r="AL302" i="58"/>
  <c r="AJ302" i="58"/>
  <c r="AH302" i="58"/>
  <c r="AK302" i="58"/>
  <c r="AE302" i="58"/>
  <c r="AD302" i="58"/>
  <c r="AL276" i="58"/>
  <c r="AH276" i="58"/>
  <c r="AK276" i="58"/>
  <c r="AI276" i="58"/>
  <c r="AJ276" i="58"/>
  <c r="AE276" i="58"/>
  <c r="AC276" i="58"/>
  <c r="AF276" i="58"/>
  <c r="AD276" i="58"/>
  <c r="AG276" i="58"/>
  <c r="AN276" i="58" s="1"/>
  <c r="AG185" i="58"/>
  <c r="AN185" i="58" s="1"/>
  <c r="AD185" i="58"/>
  <c r="AK185" i="58" s="1"/>
  <c r="AF185" i="58"/>
  <c r="AM185" i="58" s="1"/>
  <c r="AE185" i="58"/>
  <c r="AC185" i="58"/>
  <c r="AJ185" i="58" s="1"/>
  <c r="AI185" i="58"/>
  <c r="AL265" i="58"/>
  <c r="AG265" i="58"/>
  <c r="AC265" i="58"/>
  <c r="AD265" i="58"/>
  <c r="AK265" i="58" s="1"/>
  <c r="AI265" i="58"/>
  <c r="AJ265" i="58"/>
  <c r="AE265" i="58"/>
  <c r="AH265" i="58"/>
  <c r="AF265" i="58"/>
  <c r="AM265" i="58" s="1"/>
  <c r="AN162" i="58"/>
  <c r="AL162" i="58"/>
  <c r="AH162" i="58"/>
  <c r="AJ162" i="58"/>
  <c r="AI162" i="58"/>
  <c r="AF162" i="58"/>
  <c r="AE162" i="58"/>
  <c r="AC162" i="58"/>
  <c r="AD162" i="58"/>
  <c r="AK162" i="58" s="1"/>
  <c r="AG162" i="58"/>
  <c r="AM172" i="58"/>
  <c r="AI172" i="58"/>
  <c r="AN172" i="58"/>
  <c r="AD172" i="58"/>
  <c r="AG172" i="58"/>
  <c r="AK172" i="58"/>
  <c r="AH172" i="58"/>
  <c r="AJ172" i="58"/>
  <c r="AF172" i="58"/>
  <c r="AC172" i="58"/>
  <c r="AE172" i="58"/>
  <c r="AK199" i="58"/>
  <c r="AI199" i="58"/>
  <c r="AJ199" i="58"/>
  <c r="AF199" i="58"/>
  <c r="AM199" i="58" s="1"/>
  <c r="AC199" i="58"/>
  <c r="AG199" i="58"/>
  <c r="AN199" i="58" s="1"/>
  <c r="AE199" i="58"/>
  <c r="AL199" i="58" s="1"/>
  <c r="AH199" i="58"/>
  <c r="AD199" i="58"/>
  <c r="AH289" i="58"/>
  <c r="AD289" i="58"/>
  <c r="AK289" i="58" s="1"/>
  <c r="AF289" i="58"/>
  <c r="AM289" i="58" s="1"/>
  <c r="AC289" i="58"/>
  <c r="AJ289" i="58" s="1"/>
  <c r="AE289" i="58"/>
  <c r="AG289" i="58"/>
  <c r="AN289" i="58" s="1"/>
  <c r="AI289" i="58"/>
  <c r="AL289" i="58"/>
  <c r="AH257" i="58"/>
  <c r="AI257" i="58"/>
  <c r="AN257" i="58"/>
  <c r="AM257" i="58"/>
  <c r="AC257" i="58"/>
  <c r="AJ257" i="58" s="1"/>
  <c r="AG257" i="58"/>
  <c r="AE257" i="58"/>
  <c r="AL257" i="58" s="1"/>
  <c r="AD257" i="58"/>
  <c r="AK257" i="58" s="1"/>
  <c r="AF257" i="58"/>
  <c r="AH175" i="58"/>
  <c r="AL175" i="58"/>
  <c r="AI175" i="58"/>
  <c r="AE175" i="58"/>
  <c r="AN175" i="58"/>
  <c r="AF175" i="58"/>
  <c r="AC175" i="58"/>
  <c r="AJ175" i="58" s="1"/>
  <c r="AG175" i="58"/>
  <c r="AD175" i="58"/>
  <c r="AK175" i="58" s="1"/>
  <c r="AM168" i="58"/>
  <c r="AF168" i="58"/>
  <c r="AI168" i="58"/>
  <c r="AN168" i="58"/>
  <c r="AD168" i="58"/>
  <c r="AK168" i="58" s="1"/>
  <c r="AG168" i="58"/>
  <c r="AH168" i="58"/>
  <c r="AC168" i="58"/>
  <c r="AJ168" i="58" s="1"/>
  <c r="AL168" i="58"/>
  <c r="AE168" i="58"/>
  <c r="Z202" i="58"/>
  <c r="Y202" i="58"/>
  <c r="AM202" i="58" s="1"/>
  <c r="X202" i="58"/>
  <c r="AL202" i="58" s="1"/>
  <c r="Z212" i="58"/>
  <c r="AN212" i="58" s="1"/>
  <c r="Y212" i="58"/>
  <c r="AM212" i="58" s="1"/>
  <c r="X212" i="58"/>
  <c r="X180" i="58"/>
  <c r="Z180" i="58"/>
  <c r="Y180" i="58"/>
  <c r="AM180" i="58" s="1"/>
  <c r="X201" i="58"/>
  <c r="AL201" i="58" s="1"/>
  <c r="Z201" i="58"/>
  <c r="Y201" i="58"/>
  <c r="AM201" i="58" s="1"/>
  <c r="Z176" i="58"/>
  <c r="X176" i="58"/>
  <c r="Y176" i="58"/>
  <c r="Y177" i="58"/>
  <c r="AM177" i="58" s="1"/>
  <c r="X177" i="58"/>
  <c r="AL177" i="58" s="1"/>
  <c r="Z177" i="58"/>
  <c r="AN177" i="58" s="1"/>
  <c r="Y262" i="58"/>
  <c r="Z262" i="58"/>
  <c r="AN262" i="58" s="1"/>
  <c r="X262" i="58"/>
  <c r="Y220" i="58"/>
  <c r="AM220" i="58" s="1"/>
  <c r="Z220" i="58"/>
  <c r="X220" i="58"/>
  <c r="Z188" i="58"/>
  <c r="X188" i="58"/>
  <c r="Y188" i="58"/>
  <c r="X163" i="58"/>
  <c r="Y163" i="58"/>
  <c r="Z163" i="58"/>
  <c r="X186" i="58"/>
  <c r="Z186" i="58"/>
  <c r="Y186" i="58"/>
  <c r="Z275" i="58"/>
  <c r="Y275" i="58"/>
  <c r="AM275" i="58" s="1"/>
  <c r="X275" i="58"/>
  <c r="X161" i="58"/>
  <c r="Z161" i="58"/>
  <c r="AN161" i="58" s="1"/>
  <c r="Y161" i="58"/>
  <c r="Z183" i="58"/>
  <c r="AN183" i="58" s="1"/>
  <c r="Y183" i="58"/>
  <c r="AM183" i="58" s="1"/>
  <c r="X183" i="58"/>
  <c r="AL183" i="58" s="1"/>
  <c r="Y319" i="58"/>
  <c r="AM319" i="58" s="1"/>
  <c r="X319" i="58"/>
  <c r="Z319" i="58"/>
  <c r="Y289" i="58"/>
  <c r="Z289" i="58"/>
  <c r="X289" i="58"/>
  <c r="Z257" i="58"/>
  <c r="Y257" i="58"/>
  <c r="X257" i="58"/>
  <c r="Y175" i="58"/>
  <c r="X175" i="58"/>
  <c r="Z175" i="58"/>
  <c r="X190" i="58"/>
  <c r="AL190" i="58" s="1"/>
  <c r="Y190" i="58"/>
  <c r="AM190" i="58" s="1"/>
  <c r="Z190" i="58"/>
  <c r="Z194" i="58"/>
  <c r="Y194" i="58"/>
  <c r="X194" i="58"/>
  <c r="X295" i="58"/>
  <c r="Y295" i="58"/>
  <c r="AM295" i="58" s="1"/>
  <c r="Z295" i="58"/>
  <c r="AN295" i="58" s="1"/>
  <c r="Z168" i="58"/>
  <c r="Y168" i="58"/>
  <c r="X168" i="58"/>
  <c r="Z191" i="58"/>
  <c r="Y191" i="58"/>
  <c r="X191" i="58"/>
  <c r="X297" i="58"/>
  <c r="Y297" i="58"/>
  <c r="AM297" i="58" s="1"/>
  <c r="Z297" i="58"/>
  <c r="Y292" i="58"/>
  <c r="X292" i="58"/>
  <c r="Z292" i="58"/>
  <c r="X170" i="58"/>
  <c r="AL170" i="58" s="1"/>
  <c r="Y170" i="58"/>
  <c r="Z170" i="58"/>
  <c r="AN170" i="58" s="1"/>
  <c r="Z209" i="58"/>
  <c r="Y209" i="58"/>
  <c r="AM209" i="58" s="1"/>
  <c r="X209" i="58"/>
  <c r="AL209" i="58" s="1"/>
  <c r="Z181" i="58"/>
  <c r="AN181" i="58" s="1"/>
  <c r="Y181" i="58"/>
  <c r="AM181" i="58" s="1"/>
  <c r="X181" i="58"/>
  <c r="AL181" i="58" s="1"/>
  <c r="Z307" i="58"/>
  <c r="AN307" i="58" s="1"/>
  <c r="Y307" i="58"/>
  <c r="X307" i="58"/>
  <c r="Z211" i="58"/>
  <c r="Y211" i="58"/>
  <c r="X211" i="58"/>
  <c r="X200" i="58"/>
  <c r="Z200" i="58"/>
  <c r="AN200" i="58" s="1"/>
  <c r="Y200" i="58"/>
  <c r="X277" i="58"/>
  <c r="AL277" i="58" s="1"/>
  <c r="Z277" i="58"/>
  <c r="Y277" i="58"/>
  <c r="Z322" i="58"/>
  <c r="Y322" i="58"/>
  <c r="X322" i="58"/>
  <c r="X317" i="58"/>
  <c r="Y317" i="58"/>
  <c r="AM317" i="58" s="1"/>
  <c r="Z317" i="58"/>
  <c r="AN317" i="58" s="1"/>
  <c r="X265" i="58"/>
  <c r="Z265" i="58"/>
  <c r="AN265" i="58" s="1"/>
  <c r="Y265" i="58"/>
  <c r="X309" i="58"/>
  <c r="Z309" i="58"/>
  <c r="Y309" i="58"/>
  <c r="AM309" i="58" s="1"/>
  <c r="Y173" i="58"/>
  <c r="AM173" i="58" s="1"/>
  <c r="X173" i="58"/>
  <c r="Z173" i="58"/>
  <c r="X213" i="58"/>
  <c r="Z213" i="58"/>
  <c r="Y213" i="58"/>
  <c r="Y157" i="58"/>
  <c r="AM157" i="58" s="1"/>
  <c r="Z157" i="58"/>
  <c r="X157" i="58"/>
  <c r="Z312" i="58"/>
  <c r="X312" i="58"/>
  <c r="AL312" i="58" s="1"/>
  <c r="Y312" i="58"/>
  <c r="AM312" i="58" s="1"/>
  <c r="X224" i="58"/>
  <c r="Z224" i="58"/>
  <c r="AN224" i="58" s="1"/>
  <c r="Y224" i="58"/>
  <c r="AM224" i="58" s="1"/>
  <c r="Y158" i="58"/>
  <c r="X158" i="58"/>
  <c r="Z158" i="58"/>
  <c r="X300" i="58"/>
  <c r="AL300" i="58" s="1"/>
  <c r="Y300" i="58"/>
  <c r="Z300" i="58"/>
  <c r="AN300" i="58" s="1"/>
  <c r="Y320" i="58"/>
  <c r="X320" i="58"/>
  <c r="Z320" i="58"/>
  <c r="AN320" i="58" s="1"/>
  <c r="Y222" i="58"/>
  <c r="Z222" i="58"/>
  <c r="X222" i="58"/>
  <c r="Y314" i="58"/>
  <c r="AM314" i="58" s="1"/>
  <c r="X314" i="58"/>
  <c r="Z314" i="58"/>
  <c r="AN314" i="58" s="1"/>
  <c r="Y267" i="58"/>
  <c r="Z267" i="58"/>
  <c r="X267" i="58"/>
  <c r="Z270" i="58"/>
  <c r="AN270" i="58" s="1"/>
  <c r="Y270" i="58"/>
  <c r="X270" i="58"/>
  <c r="AL270" i="58" s="1"/>
  <c r="Z199" i="58"/>
  <c r="X199" i="58"/>
  <c r="Y199" i="58"/>
  <c r="X179" i="58"/>
  <c r="Y179" i="58"/>
  <c r="AM179" i="58" s="1"/>
  <c r="Z179" i="58"/>
  <c r="AN179" i="58" s="1"/>
  <c r="X276" i="58"/>
  <c r="Z276" i="58"/>
  <c r="Y276" i="58"/>
  <c r="AM276" i="58" s="1"/>
  <c r="Y184" i="58"/>
  <c r="AM184" i="58" s="1"/>
  <c r="Z184" i="58"/>
  <c r="X184" i="58"/>
  <c r="X274" i="58"/>
  <c r="Z274" i="58"/>
  <c r="Y274" i="58"/>
  <c r="X308" i="58"/>
  <c r="Y308" i="58"/>
  <c r="Z308" i="58"/>
  <c r="AN308" i="58" s="1"/>
  <c r="Z323" i="58"/>
  <c r="Y323" i="58"/>
  <c r="AM323" i="58" s="1"/>
  <c r="X323" i="58"/>
  <c r="X266" i="58"/>
  <c r="Z266" i="58"/>
  <c r="Y266" i="58"/>
  <c r="Y283" i="58"/>
  <c r="AM283" i="58" s="1"/>
  <c r="X283" i="58"/>
  <c r="Z283" i="58"/>
  <c r="Y286" i="58"/>
  <c r="X286" i="58"/>
  <c r="AL286" i="58" s="1"/>
  <c r="Z286" i="58"/>
  <c r="AN286" i="58" s="1"/>
  <c r="Z294" i="58"/>
  <c r="X294" i="58"/>
  <c r="Y294" i="58"/>
  <c r="Z223" i="58"/>
  <c r="Y223" i="58"/>
  <c r="AM223" i="58" s="1"/>
  <c r="X223" i="58"/>
  <c r="AL223" i="58" s="1"/>
  <c r="Y281" i="58"/>
  <c r="Z281" i="58"/>
  <c r="AN281" i="58" s="1"/>
  <c r="X281" i="58"/>
  <c r="Z296" i="58"/>
  <c r="AN296" i="58" s="1"/>
  <c r="Y296" i="58"/>
  <c r="X296" i="58"/>
  <c r="AL296" i="58" s="1"/>
  <c r="X299" i="58"/>
  <c r="AL299" i="58" s="1"/>
  <c r="Y299" i="58"/>
  <c r="Z299" i="58"/>
  <c r="AN299" i="58" s="1"/>
  <c r="Y291" i="58"/>
  <c r="Z291" i="58"/>
  <c r="X291" i="58"/>
  <c r="AL291" i="58" s="1"/>
  <c r="Z261" i="58"/>
  <c r="Y261" i="58"/>
  <c r="AM261" i="58" s="1"/>
  <c r="X261" i="58"/>
  <c r="X311" i="58"/>
  <c r="AL311" i="58" s="1"/>
  <c r="Y311" i="58"/>
  <c r="Z311" i="58"/>
  <c r="AN311" i="58" s="1"/>
  <c r="Z219" i="58"/>
  <c r="AN219" i="58" s="1"/>
  <c r="Y219" i="58"/>
  <c r="X219" i="58"/>
  <c r="AL219" i="58" s="1"/>
  <c r="Y208" i="58"/>
  <c r="AM208" i="58" s="1"/>
  <c r="Z208" i="58"/>
  <c r="X208" i="58"/>
  <c r="AL208" i="58" s="1"/>
  <c r="Z259" i="58"/>
  <c r="AN259" i="58" s="1"/>
  <c r="X259" i="58"/>
  <c r="Y259" i="58"/>
  <c r="Y310" i="58"/>
  <c r="AM310" i="58" s="1"/>
  <c r="Z310" i="58"/>
  <c r="AN310" i="58" s="1"/>
  <c r="X310" i="58"/>
  <c r="AL310" i="58" s="1"/>
  <c r="X321" i="58"/>
  <c r="Y321" i="58"/>
  <c r="Z321" i="58"/>
  <c r="AN321" i="58" s="1"/>
  <c r="X293" i="58"/>
  <c r="AL293" i="58" s="1"/>
  <c r="Z293" i="58"/>
  <c r="Y293" i="58"/>
  <c r="X273" i="58"/>
  <c r="AL273" i="58" s="1"/>
  <c r="Y273" i="58"/>
  <c r="AM273" i="58" s="1"/>
  <c r="Z273" i="58"/>
  <c r="Y162" i="58"/>
  <c r="AM162" i="58" s="1"/>
  <c r="Z162" i="58"/>
  <c r="X162" i="58"/>
  <c r="Z324" i="58"/>
  <c r="AN324" i="58" s="1"/>
  <c r="Y324" i="58"/>
  <c r="X324" i="58"/>
  <c r="X268" i="58"/>
  <c r="AL268" i="58" s="1"/>
  <c r="Y268" i="58"/>
  <c r="Z268" i="58"/>
  <c r="AN268" i="58" s="1"/>
  <c r="Z214" i="58"/>
  <c r="AN214" i="58" s="1"/>
  <c r="X214" i="58"/>
  <c r="Y214" i="58"/>
  <c r="X278" i="58"/>
  <c r="Y278" i="58"/>
  <c r="Z278" i="58"/>
  <c r="Y306" i="58"/>
  <c r="AM306" i="58" s="1"/>
  <c r="Z306" i="58"/>
  <c r="AN306" i="58" s="1"/>
  <c r="X306" i="58"/>
  <c r="Y198" i="58"/>
  <c r="Z198" i="58"/>
  <c r="X198" i="58"/>
  <c r="Y218" i="58"/>
  <c r="X218" i="58"/>
  <c r="AL218" i="58" s="1"/>
  <c r="Z218" i="58"/>
  <c r="Y192" i="58"/>
  <c r="Z192" i="58"/>
  <c r="AN192" i="58" s="1"/>
  <c r="X192" i="58"/>
  <c r="AL192" i="58" s="1"/>
  <c r="Y187" i="58"/>
  <c r="Z187" i="58"/>
  <c r="X187" i="58"/>
  <c r="AL187" i="58" s="1"/>
  <c r="Z316" i="58"/>
  <c r="Y316" i="58"/>
  <c r="X316" i="58"/>
  <c r="AL316" i="58" s="1"/>
  <c r="Y185" i="58"/>
  <c r="X185" i="58"/>
  <c r="Z185" i="58"/>
  <c r="Y207" i="58"/>
  <c r="AM207" i="58" s="1"/>
  <c r="X207" i="58"/>
  <c r="Z207" i="58"/>
  <c r="AN207" i="58" s="1"/>
  <c r="Y313" i="58"/>
  <c r="Z313" i="58"/>
  <c r="AN313" i="58" s="1"/>
  <c r="X313" i="58"/>
  <c r="AL313" i="58" s="1"/>
  <c r="Z206" i="58"/>
  <c r="Y206" i="58"/>
  <c r="X206" i="58"/>
  <c r="AL206" i="58" s="1"/>
  <c r="X204" i="58"/>
  <c r="Z204" i="58"/>
  <c r="Y204" i="58"/>
  <c r="AM204" i="58" s="1"/>
  <c r="X285" i="58"/>
  <c r="AL285" i="58" s="1"/>
  <c r="Z285" i="58"/>
  <c r="AN285" i="58" s="1"/>
  <c r="Y285" i="58"/>
  <c r="AM285" i="58" s="1"/>
  <c r="Y279" i="58"/>
  <c r="Z279" i="58"/>
  <c r="X279" i="58"/>
  <c r="AL279" i="58" s="1"/>
  <c r="Y193" i="58"/>
  <c r="X193" i="58"/>
  <c r="AL193" i="58" s="1"/>
  <c r="Z193" i="58"/>
  <c r="AN193" i="58" s="1"/>
  <c r="X195" i="58"/>
  <c r="Z195" i="58"/>
  <c r="AN195" i="58" s="1"/>
  <c r="Y195" i="58"/>
  <c r="X169" i="58"/>
  <c r="AL169" i="58" s="1"/>
  <c r="Z169" i="58"/>
  <c r="AN169" i="58" s="1"/>
  <c r="Y169" i="58"/>
  <c r="X304" i="58"/>
  <c r="Y304" i="58"/>
  <c r="Z304" i="58"/>
  <c r="Y282" i="58"/>
  <c r="X282" i="58"/>
  <c r="AL282" i="58" s="1"/>
  <c r="Z282" i="58"/>
  <c r="X217" i="58"/>
  <c r="Z217" i="58"/>
  <c r="Y217" i="58"/>
  <c r="Y174" i="58"/>
  <c r="AM174" i="58" s="1"/>
  <c r="Z174" i="58"/>
  <c r="AN174" i="58" s="1"/>
  <c r="X174" i="58"/>
  <c r="Z284" i="58"/>
  <c r="AN284" i="58" s="1"/>
  <c r="Y284" i="58"/>
  <c r="X284" i="58"/>
  <c r="Y302" i="58"/>
  <c r="X302" i="58"/>
  <c r="Z302" i="58"/>
  <c r="AN302" i="58" s="1"/>
  <c r="Y271" i="58"/>
  <c r="X271" i="58"/>
  <c r="Z271" i="58"/>
  <c r="Z280" i="58"/>
  <c r="X280" i="58"/>
  <c r="AL280" i="58" s="1"/>
  <c r="Y280" i="58"/>
  <c r="X160" i="58"/>
  <c r="AL160" i="58" s="1"/>
  <c r="Y160" i="58"/>
  <c r="Z160" i="58"/>
  <c r="AN160" i="58" s="1"/>
  <c r="Y197" i="58"/>
  <c r="Z197" i="58"/>
  <c r="X197" i="58"/>
  <c r="AL197" i="58" s="1"/>
  <c r="X166" i="58"/>
  <c r="AL166" i="58" s="1"/>
  <c r="Y166" i="58"/>
  <c r="AM166" i="58" s="1"/>
  <c r="Z166" i="58"/>
  <c r="AN166" i="58" s="1"/>
  <c r="Z290" i="58"/>
  <c r="Y290" i="58"/>
  <c r="X290" i="58"/>
  <c r="AL290" i="58" s="1"/>
  <c r="Z215" i="58"/>
  <c r="X215" i="58"/>
  <c r="Y215" i="58"/>
  <c r="Y287" i="58"/>
  <c r="AM287" i="58" s="1"/>
  <c r="X287" i="58"/>
  <c r="Z287" i="58"/>
  <c r="X298" i="58"/>
  <c r="Z298" i="58"/>
  <c r="AN298" i="58" s="1"/>
  <c r="Y298" i="58"/>
  <c r="X210" i="58"/>
  <c r="Y210" i="58"/>
  <c r="Z210" i="58"/>
  <c r="Z203" i="58"/>
  <c r="AN203" i="58" s="1"/>
  <c r="X203" i="58"/>
  <c r="Y203" i="58"/>
  <c r="Z196" i="58"/>
  <c r="AN196" i="58" s="1"/>
  <c r="X196" i="58"/>
  <c r="Y196" i="58"/>
  <c r="Y263" i="58"/>
  <c r="Z263" i="58"/>
  <c r="AN263" i="58" s="1"/>
  <c r="X263" i="58"/>
  <c r="X315" i="58"/>
  <c r="Y315" i="58"/>
  <c r="Z315" i="58"/>
  <c r="X205" i="58"/>
  <c r="Z205" i="58"/>
  <c r="AN205" i="58" s="1"/>
  <c r="Y205" i="58"/>
  <c r="AM205" i="58" s="1"/>
  <c r="Z172" i="58"/>
  <c r="Y172" i="58"/>
  <c r="X172" i="58"/>
  <c r="Y182" i="58"/>
  <c r="AM182" i="58" s="1"/>
  <c r="Z182" i="58"/>
  <c r="X182" i="58"/>
  <c r="Y178" i="58"/>
  <c r="AM178" i="58" s="1"/>
  <c r="Z178" i="58"/>
  <c r="AN178" i="58" s="1"/>
  <c r="X178" i="58"/>
  <c r="Y260" i="58"/>
  <c r="X260" i="58"/>
  <c r="AL260" i="58" s="1"/>
  <c r="Z260" i="58"/>
  <c r="AN260" i="58" s="1"/>
  <c r="X221" i="58"/>
  <c r="Y221" i="58"/>
  <c r="Z221" i="58"/>
  <c r="Z167" i="58"/>
  <c r="X167" i="58"/>
  <c r="Y167" i="58"/>
  <c r="X288" i="58"/>
  <c r="AL288" i="58" s="1"/>
  <c r="Z288" i="58"/>
  <c r="Y288" i="58"/>
  <c r="Y258" i="58"/>
  <c r="X258" i="58"/>
  <c r="AL258" i="58" s="1"/>
  <c r="Z258" i="58"/>
  <c r="Y301" i="58"/>
  <c r="AM301" i="58" s="1"/>
  <c r="Z301" i="58"/>
  <c r="AN301" i="58" s="1"/>
  <c r="X301" i="58"/>
  <c r="AL301" i="58" s="1"/>
  <c r="Z216" i="58"/>
  <c r="AN216" i="58" s="1"/>
  <c r="Y216" i="58"/>
  <c r="X216" i="58"/>
  <c r="Z165" i="58"/>
  <c r="AN165" i="58" s="1"/>
  <c r="X165" i="58"/>
  <c r="AL165" i="58" s="1"/>
  <c r="Y165" i="58"/>
  <c r="X171" i="58"/>
  <c r="Z171" i="58"/>
  <c r="AN171" i="58" s="1"/>
  <c r="Y171" i="58"/>
  <c r="Z189" i="58"/>
  <c r="X189" i="58"/>
  <c r="Y189" i="58"/>
  <c r="Y303" i="58"/>
  <c r="AM303" i="58" s="1"/>
  <c r="Z303" i="58"/>
  <c r="AN303" i="58" s="1"/>
  <c r="X303" i="58"/>
  <c r="X269" i="58"/>
  <c r="Y269" i="58"/>
  <c r="Z269" i="58"/>
  <c r="AN269" i="58" s="1"/>
  <c r="X305" i="58"/>
  <c r="Y305" i="58"/>
  <c r="AM305" i="58" s="1"/>
  <c r="Z305" i="58"/>
  <c r="X318" i="58"/>
  <c r="Y318" i="58"/>
  <c r="AM318" i="58" s="1"/>
  <c r="Z318" i="58"/>
  <c r="AN318" i="58" s="1"/>
  <c r="X272" i="58"/>
  <c r="Z272" i="58"/>
  <c r="AN272" i="58" s="1"/>
  <c r="Y272" i="58"/>
  <c r="Z159" i="58"/>
  <c r="AN159" i="58" s="1"/>
  <c r="Y159" i="58"/>
  <c r="X159" i="58"/>
  <c r="AL159" i="58" s="1"/>
  <c r="Q174" i="58" l="1"/>
  <c r="N276" i="58"/>
  <c r="N180" i="58"/>
  <c r="P301" i="58"/>
  <c r="Q162" i="58"/>
  <c r="R207" i="58"/>
  <c r="I307" i="58"/>
  <c r="L307" i="58"/>
  <c r="O158" i="58"/>
  <c r="M179" i="58"/>
  <c r="N194" i="58"/>
  <c r="L276" i="58"/>
  <c r="O194" i="58"/>
  <c r="Q168" i="58"/>
  <c r="N257" i="58"/>
  <c r="M184" i="58"/>
  <c r="N307" i="58"/>
  <c r="O324" i="58"/>
  <c r="Q182" i="58"/>
  <c r="R307" i="58"/>
  <c r="AL172" i="58"/>
  <c r="N168" i="58"/>
  <c r="AN217" i="58"/>
  <c r="AM294" i="58"/>
  <c r="O184" i="58"/>
  <c r="AN290" i="58"/>
  <c r="AL194" i="58"/>
  <c r="AM189" i="58"/>
  <c r="AL269" i="58"/>
  <c r="M288" i="58"/>
  <c r="AL157" i="58"/>
  <c r="I157" i="58" s="1"/>
  <c r="AM171" i="58"/>
  <c r="AL267" i="58"/>
  <c r="I168" i="58"/>
  <c r="AL195" i="58"/>
  <c r="I208" i="58"/>
  <c r="AM315" i="58"/>
  <c r="AL158" i="58"/>
  <c r="I158" i="58" s="1"/>
  <c r="AN189" i="58"/>
  <c r="AL163" i="58"/>
  <c r="O269" i="58"/>
  <c r="AM304" i="58"/>
  <c r="I304" i="58" s="1"/>
  <c r="AL324" i="58"/>
  <c r="AN206" i="58"/>
  <c r="I269" i="58"/>
  <c r="M212" i="58"/>
  <c r="I301" i="58"/>
  <c r="R301" i="58" s="1"/>
  <c r="L301" i="58"/>
  <c r="M272" i="58"/>
  <c r="R208" i="58"/>
  <c r="Q307" i="58"/>
  <c r="O307" i="58"/>
  <c r="AM158" i="58"/>
  <c r="I313" i="58"/>
  <c r="P313" i="58" s="1"/>
  <c r="L313" i="58"/>
  <c r="O292" i="58"/>
  <c r="AN210" i="58"/>
  <c r="I273" i="58"/>
  <c r="J273" i="58" s="1"/>
  <c r="K273" i="58" s="1"/>
  <c r="S206" i="51" s="1"/>
  <c r="AL207" i="58"/>
  <c r="P208" i="58"/>
  <c r="P307" i="58"/>
  <c r="AM299" i="58"/>
  <c r="I299" i="58" s="1"/>
  <c r="L299" i="58" s="1"/>
  <c r="N261" i="58"/>
  <c r="O273" i="58"/>
  <c r="AL306" i="58"/>
  <c r="Q296" i="58"/>
  <c r="AM284" i="58"/>
  <c r="AN267" i="58"/>
  <c r="AL295" i="58"/>
  <c r="AM219" i="58"/>
  <c r="O280" i="58"/>
  <c r="AM281" i="58"/>
  <c r="Q204" i="58"/>
  <c r="R257" i="58"/>
  <c r="P310" i="58"/>
  <c r="P276" i="58"/>
  <c r="AL266" i="58"/>
  <c r="AL212" i="58"/>
  <c r="O315" i="58"/>
  <c r="O313" i="58"/>
  <c r="AL317" i="58"/>
  <c r="AN182" i="58"/>
  <c r="O163" i="58"/>
  <c r="AL275" i="58"/>
  <c r="AN261" i="58"/>
  <c r="AL179" i="58"/>
  <c r="AL173" i="58"/>
  <c r="R273" i="58"/>
  <c r="Q273" i="58"/>
  <c r="P166" i="58"/>
  <c r="R310" i="58"/>
  <c r="P177" i="58"/>
  <c r="R168" i="58"/>
  <c r="AL185" i="58"/>
  <c r="I279" i="58"/>
  <c r="AL323" i="58"/>
  <c r="I195" i="58"/>
  <c r="M195" i="58" s="1"/>
  <c r="AM186" i="58"/>
  <c r="I186" i="58" s="1"/>
  <c r="AN194" i="58"/>
  <c r="AL178" i="58"/>
  <c r="P182" i="58"/>
  <c r="AN275" i="58"/>
  <c r="AN288" i="58"/>
  <c r="AM210" i="58"/>
  <c r="L171" i="58"/>
  <c r="AN188" i="58"/>
  <c r="P170" i="58"/>
  <c r="AM175" i="58"/>
  <c r="I175" i="58" s="1"/>
  <c r="I276" i="58"/>
  <c r="Q310" i="58"/>
  <c r="AL184" i="58"/>
  <c r="O195" i="58"/>
  <c r="AN222" i="58"/>
  <c r="I222" i="58" s="1"/>
  <c r="AL215" i="58"/>
  <c r="I215" i="58" s="1"/>
  <c r="L215" i="58" s="1"/>
  <c r="AM308" i="58"/>
  <c r="I308" i="58" s="1"/>
  <c r="AN315" i="58"/>
  <c r="O260" i="58"/>
  <c r="AM292" i="58"/>
  <c r="I292" i="58" s="1"/>
  <c r="AL211" i="58"/>
  <c r="I259" i="58"/>
  <c r="L259" i="58"/>
  <c r="R203" i="58"/>
  <c r="I162" i="58"/>
  <c r="I265" i="58"/>
  <c r="I302" i="58"/>
  <c r="Q302" i="58" s="1"/>
  <c r="I184" i="58"/>
  <c r="Q184" i="58" s="1"/>
  <c r="I290" i="58"/>
  <c r="M290" i="58" s="1"/>
  <c r="I183" i="58"/>
  <c r="M296" i="58"/>
  <c r="AL204" i="58"/>
  <c r="AM169" i="58"/>
  <c r="I214" i="58"/>
  <c r="I187" i="58"/>
  <c r="I317" i="58"/>
  <c r="R317" i="58" s="1"/>
  <c r="I260" i="58"/>
  <c r="N260" i="58" s="1"/>
  <c r="AN157" i="58"/>
  <c r="I296" i="58"/>
  <c r="L296" i="58" s="1"/>
  <c r="AL284" i="58"/>
  <c r="AL176" i="58"/>
  <c r="I213" i="58"/>
  <c r="J213" i="58" s="1"/>
  <c r="K213" i="58" s="1"/>
  <c r="S137" i="51" s="1"/>
  <c r="AM311" i="58"/>
  <c r="I311" i="58" s="1"/>
  <c r="AM280" i="58"/>
  <c r="O310" i="58"/>
  <c r="AN258" i="58"/>
  <c r="AL297" i="58"/>
  <c r="AL161" i="58"/>
  <c r="Q312" i="58"/>
  <c r="I257" i="58"/>
  <c r="O257" i="58" s="1"/>
  <c r="I294" i="58"/>
  <c r="M294" i="58" s="1"/>
  <c r="I194" i="58"/>
  <c r="I178" i="58"/>
  <c r="I211" i="58"/>
  <c r="I179" i="58"/>
  <c r="Q179" i="58" s="1"/>
  <c r="AM160" i="58"/>
  <c r="N273" i="58"/>
  <c r="AN176" i="58"/>
  <c r="AL180" i="58"/>
  <c r="AL213" i="58"/>
  <c r="AL262" i="58"/>
  <c r="AN291" i="58"/>
  <c r="AL272" i="58"/>
  <c r="I272" i="58" s="1"/>
  <c r="AN274" i="58"/>
  <c r="AL200" i="58"/>
  <c r="I289" i="58"/>
  <c r="I199" i="58"/>
  <c r="I309" i="58"/>
  <c r="Q309" i="58" s="1"/>
  <c r="I315" i="58"/>
  <c r="P315" i="58" s="1"/>
  <c r="I163" i="58"/>
  <c r="AN304" i="58"/>
  <c r="AL210" i="58"/>
  <c r="I210" i="58" s="1"/>
  <c r="AK283" i="58"/>
  <c r="I283" i="58" s="1"/>
  <c r="I220" i="58"/>
  <c r="P220" i="58" s="1"/>
  <c r="AN180" i="58"/>
  <c r="AM213" i="58"/>
  <c r="I295" i="58"/>
  <c r="M301" i="58"/>
  <c r="AL287" i="58"/>
  <c r="AM263" i="58"/>
  <c r="AN204" i="58"/>
  <c r="AM300" i="58"/>
  <c r="AM203" i="58"/>
  <c r="I266" i="58"/>
  <c r="O266" i="58" s="1"/>
  <c r="I221" i="58"/>
  <c r="I286" i="58"/>
  <c r="I212" i="58"/>
  <c r="L317" i="58"/>
  <c r="I189" i="58"/>
  <c r="I288" i="58"/>
  <c r="L288" i="58" s="1"/>
  <c r="M273" i="58"/>
  <c r="AM176" i="58"/>
  <c r="AN201" i="58"/>
  <c r="AL278" i="58"/>
  <c r="AN167" i="58"/>
  <c r="AL214" i="58"/>
  <c r="AN197" i="58"/>
  <c r="I182" i="58"/>
  <c r="I261" i="58"/>
  <c r="AM269" i="58"/>
  <c r="AL283" i="58"/>
  <c r="I160" i="58"/>
  <c r="AM324" i="58"/>
  <c r="I324" i="58" s="1"/>
  <c r="N324" i="58" s="1"/>
  <c r="I171" i="58"/>
  <c r="AM262" i="58"/>
  <c r="AN277" i="58"/>
  <c r="I310" i="58"/>
  <c r="J310" i="58" s="1"/>
  <c r="K310" i="58" s="1"/>
  <c r="S249" i="51" s="1"/>
  <c r="L310" i="58"/>
  <c r="AM291" i="58"/>
  <c r="I291" i="58" s="1"/>
  <c r="AL318" i="58"/>
  <c r="AN223" i="58"/>
  <c r="I223" i="58" s="1"/>
  <c r="N223" i="58" s="1"/>
  <c r="AK201" i="58"/>
  <c r="I207" i="58"/>
  <c r="AM320" i="58"/>
  <c r="I188" i="58"/>
  <c r="N188" i="58" s="1"/>
  <c r="AN280" i="58"/>
  <c r="L291" i="58"/>
  <c r="AM167" i="58"/>
  <c r="I300" i="58"/>
  <c r="R300" i="58" s="1"/>
  <c r="L300" i="58"/>
  <c r="AM214" i="58"/>
  <c r="N197" i="58"/>
  <c r="AL224" i="58"/>
  <c r="I224" i="58" s="1"/>
  <c r="AN312" i="58"/>
  <c r="I312" i="58" s="1"/>
  <c r="AM274" i="58"/>
  <c r="AN319" i="58"/>
  <c r="I319" i="58" s="1"/>
  <c r="AM267" i="58"/>
  <c r="I267" i="58"/>
  <c r="AL188" i="58"/>
  <c r="AM188" i="58"/>
  <c r="I219" i="58"/>
  <c r="AN278" i="58"/>
  <c r="AN316" i="58"/>
  <c r="AM193" i="58"/>
  <c r="I192" i="58"/>
  <c r="AL196" i="58"/>
  <c r="AM218" i="58"/>
  <c r="L174" i="58"/>
  <c r="I202" i="58"/>
  <c r="Q202" i="58" s="1"/>
  <c r="I180" i="58"/>
  <c r="I280" i="58"/>
  <c r="AN287" i="58"/>
  <c r="AM159" i="58"/>
  <c r="AM165" i="58"/>
  <c r="AN297" i="58"/>
  <c r="AN191" i="58"/>
  <c r="I191" i="58" s="1"/>
  <c r="AL216" i="58"/>
  <c r="AL198" i="58"/>
  <c r="AL303" i="58"/>
  <c r="AL321" i="58"/>
  <c r="AM277" i="58"/>
  <c r="I277" i="58"/>
  <c r="AL271" i="58"/>
  <c r="N216" i="58"/>
  <c r="AM282" i="58"/>
  <c r="AM198" i="58"/>
  <c r="AM270" i="58"/>
  <c r="I270" i="58" s="1"/>
  <c r="AL281" i="58"/>
  <c r="I281" i="58" s="1"/>
  <c r="I278" i="58"/>
  <c r="J278" i="58" s="1"/>
  <c r="K278" i="58" s="1"/>
  <c r="S211" i="51" s="1"/>
  <c r="AM258" i="58"/>
  <c r="N263" i="58"/>
  <c r="AM271" i="58"/>
  <c r="AK318" i="58"/>
  <c r="AL191" i="58"/>
  <c r="I177" i="58"/>
  <c r="O177" i="58" s="1"/>
  <c r="L177" i="58"/>
  <c r="AL203" i="58"/>
  <c r="I203" i="58"/>
  <c r="J203" i="58" s="1"/>
  <c r="K203" i="58" s="1"/>
  <c r="S124" i="51" s="1"/>
  <c r="L203" i="58"/>
  <c r="AM197" i="58"/>
  <c r="I216" i="58"/>
  <c r="M216" i="58" s="1"/>
  <c r="L216" i="58"/>
  <c r="N224" i="58"/>
  <c r="I263" i="58"/>
  <c r="P263" i="58" s="1"/>
  <c r="I161" i="58"/>
  <c r="J161" i="58" s="1"/>
  <c r="K161" i="58" s="1"/>
  <c r="S76" i="51" s="1"/>
  <c r="AM161" i="58"/>
  <c r="N177" i="58"/>
  <c r="I268" i="58"/>
  <c r="AN190" i="58"/>
  <c r="I190" i="58" s="1"/>
  <c r="AM200" i="58"/>
  <c r="AJ166" i="58"/>
  <c r="AK181" i="58"/>
  <c r="AJ305" i="58"/>
  <c r="I305" i="58" s="1"/>
  <c r="Q305" i="58" s="1"/>
  <c r="AL319" i="58"/>
  <c r="M200" i="58"/>
  <c r="AM272" i="58"/>
  <c r="AM268" i="58"/>
  <c r="AM216" i="58"/>
  <c r="AK282" i="58"/>
  <c r="I282" i="58" s="1"/>
  <c r="AL298" i="58"/>
  <c r="AM321" i="58"/>
  <c r="I293" i="58"/>
  <c r="I200" i="58"/>
  <c r="R200" i="58" s="1"/>
  <c r="I174" i="58"/>
  <c r="I197" i="58"/>
  <c r="L197" i="58" s="1"/>
  <c r="AL274" i="58"/>
  <c r="AN282" i="58"/>
  <c r="AJ193" i="58"/>
  <c r="AM298" i="58"/>
  <c r="AM192" i="58"/>
  <c r="I166" i="58"/>
  <c r="J166" i="58" s="1"/>
  <c r="K166" i="58" s="1"/>
  <c r="S84" i="51" s="1"/>
  <c r="AN305" i="58"/>
  <c r="AM191" i="58"/>
  <c r="I204" i="58"/>
  <c r="L204" i="58"/>
  <c r="I169" i="58"/>
  <c r="AL314" i="58"/>
  <c r="I314" i="58" s="1"/>
  <c r="AM170" i="58"/>
  <c r="I170" i="58" s="1"/>
  <c r="N170" i="58" s="1"/>
  <c r="AK205" i="58"/>
  <c r="AJ192" i="58"/>
  <c r="AN218" i="58"/>
  <c r="AM322" i="58"/>
  <c r="AL167" i="58"/>
  <c r="M203" i="58"/>
  <c r="I285" i="58"/>
  <c r="L285" i="58" s="1"/>
  <c r="AM316" i="58"/>
  <c r="I193" i="58"/>
  <c r="AM196" i="58"/>
  <c r="I196" i="58" s="1"/>
  <c r="AN293" i="58"/>
  <c r="AL305" i="58"/>
  <c r="I218" i="58"/>
  <c r="AM293" i="58"/>
  <c r="I209" i="58"/>
  <c r="P209" i="58" s="1"/>
  <c r="I298" i="58"/>
  <c r="AN322" i="58"/>
  <c r="M218" i="58"/>
  <c r="I318" i="58"/>
  <c r="M318" i="58" s="1"/>
  <c r="AN198" i="58"/>
  <c r="AL322" i="58"/>
  <c r="AL205" i="58"/>
  <c r="I303" i="58"/>
  <c r="Q303" i="58" s="1"/>
  <c r="M166" i="58"/>
  <c r="AL174" i="58"/>
  <c r="I321" i="58"/>
  <c r="L172" i="51"/>
  <c r="L126" i="51"/>
  <c r="L186" i="51"/>
  <c r="G256" i="58" s="1"/>
  <c r="L174" i="51"/>
  <c r="L163" i="51"/>
  <c r="G236" i="58" s="1"/>
  <c r="L155" i="51"/>
  <c r="G228" i="58" s="1"/>
  <c r="L162" i="51"/>
  <c r="G235" i="58" s="1"/>
  <c r="L149" i="51"/>
  <c r="L195" i="51"/>
  <c r="L54" i="51"/>
  <c r="G142" i="58" s="1"/>
  <c r="L178" i="51"/>
  <c r="G248" i="58" s="1"/>
  <c r="L167" i="51"/>
  <c r="G240" i="58" s="1"/>
  <c r="L151" i="51"/>
  <c r="L67" i="51"/>
  <c r="G152" i="58" s="1"/>
  <c r="L181" i="51"/>
  <c r="G251" i="58" s="1"/>
  <c r="L170" i="51"/>
  <c r="G243" i="58" s="1"/>
  <c r="L154" i="51"/>
  <c r="G227" i="58" s="1"/>
  <c r="L218" i="51"/>
  <c r="L71" i="51"/>
  <c r="G156" i="58" s="1"/>
  <c r="L70" i="51"/>
  <c r="G155" i="58" s="1"/>
  <c r="L103" i="51"/>
  <c r="L57" i="51"/>
  <c r="L53" i="51"/>
  <c r="G141" i="58" s="1"/>
  <c r="L56" i="51"/>
  <c r="G144" i="58" s="1"/>
  <c r="L184" i="51"/>
  <c r="G254" i="58" s="1"/>
  <c r="L180" i="51"/>
  <c r="G250" i="58" s="1"/>
  <c r="L176" i="51"/>
  <c r="G246" i="58" s="1"/>
  <c r="L169" i="51"/>
  <c r="G242" i="58" s="1"/>
  <c r="L165" i="51"/>
  <c r="G238" i="58" s="1"/>
  <c r="L161" i="51"/>
  <c r="G234" i="58" s="1"/>
  <c r="L157" i="51"/>
  <c r="G230" i="58" s="1"/>
  <c r="L153" i="51"/>
  <c r="G226" i="58" s="1"/>
  <c r="L69" i="51"/>
  <c r="G154" i="58" s="1"/>
  <c r="L65" i="51"/>
  <c r="G150" i="58" s="1"/>
  <c r="L61" i="51"/>
  <c r="G146" i="58" s="1"/>
  <c r="L80" i="51"/>
  <c r="L55" i="51"/>
  <c r="G143" i="58" s="1"/>
  <c r="L194" i="51"/>
  <c r="G264" i="58" s="1"/>
  <c r="L182" i="51"/>
  <c r="G252" i="58" s="1"/>
  <c r="L171" i="51"/>
  <c r="G244" i="58" s="1"/>
  <c r="L159" i="51"/>
  <c r="G232" i="58" s="1"/>
  <c r="L79" i="51"/>
  <c r="G164" i="58" s="1"/>
  <c r="L59" i="51"/>
  <c r="L241" i="51"/>
  <c r="L185" i="51"/>
  <c r="G255" i="58" s="1"/>
  <c r="L177" i="51"/>
  <c r="G247" i="58" s="1"/>
  <c r="L166" i="51"/>
  <c r="G239" i="58" s="1"/>
  <c r="L158" i="51"/>
  <c r="G231" i="58" s="1"/>
  <c r="L150" i="51"/>
  <c r="L62" i="51"/>
  <c r="G147" i="58" s="1"/>
  <c r="L183" i="51"/>
  <c r="G253" i="58" s="1"/>
  <c r="L179" i="51"/>
  <c r="G249" i="58" s="1"/>
  <c r="L175" i="51"/>
  <c r="G245" i="58" s="1"/>
  <c r="L168" i="51"/>
  <c r="G241" i="58" s="1"/>
  <c r="L164" i="51"/>
  <c r="G237" i="58" s="1"/>
  <c r="L160" i="51"/>
  <c r="G233" i="58" s="1"/>
  <c r="L156" i="51"/>
  <c r="G229" i="58" s="1"/>
  <c r="L152" i="51"/>
  <c r="G225" i="58" s="1"/>
  <c r="L68" i="51"/>
  <c r="G153" i="58" s="1"/>
  <c r="L64" i="51"/>
  <c r="G149" i="58" s="1"/>
  <c r="L60" i="51"/>
  <c r="G145" i="58" s="1"/>
  <c r="L63" i="51"/>
  <c r="G148" i="58" s="1"/>
  <c r="L66" i="51"/>
  <c r="G151" i="58" s="1"/>
  <c r="L42" i="51"/>
  <c r="G130" i="58" s="1"/>
  <c r="L43" i="51"/>
  <c r="G131" i="58" s="1"/>
  <c r="L48" i="51"/>
  <c r="G136" i="58" s="1"/>
  <c r="L33" i="51"/>
  <c r="L41" i="51"/>
  <c r="G129" i="58" s="1"/>
  <c r="L44" i="51"/>
  <c r="G132" i="58" s="1"/>
  <c r="L45" i="51"/>
  <c r="G133" i="58" s="1"/>
  <c r="L46" i="51"/>
  <c r="G134" i="58" s="1"/>
  <c r="L36" i="51"/>
  <c r="L37" i="51"/>
  <c r="G125" i="58" s="1"/>
  <c r="L34" i="51"/>
  <c r="L47" i="51"/>
  <c r="G135" i="58" s="1"/>
  <c r="L39" i="51"/>
  <c r="L38" i="51"/>
  <c r="L40" i="51"/>
  <c r="G128" i="58" s="1"/>
  <c r="L49" i="51"/>
  <c r="G137" i="58" s="1"/>
  <c r="L50" i="51"/>
  <c r="G138" i="58" s="1"/>
  <c r="L51" i="51"/>
  <c r="G139" i="58" s="1"/>
  <c r="L52" i="51"/>
  <c r="G140" i="58" s="1"/>
  <c r="L32" i="51"/>
  <c r="U126" i="51" l="1"/>
  <c r="U103" i="51"/>
  <c r="U172" i="51"/>
  <c r="U57" i="51"/>
  <c r="U218" i="51"/>
  <c r="U195" i="51"/>
  <c r="U241" i="51"/>
  <c r="U149" i="51"/>
  <c r="U80" i="51"/>
  <c r="G127" i="58"/>
  <c r="Q39" i="51"/>
  <c r="G126" i="58"/>
  <c r="Q38" i="51"/>
  <c r="J321" i="58"/>
  <c r="K321" i="58" s="1"/>
  <c r="S260" i="51" s="1"/>
  <c r="N321" i="58"/>
  <c r="M321" i="58"/>
  <c r="L321" i="58"/>
  <c r="J192" i="58"/>
  <c r="K192" i="58" s="1"/>
  <c r="S113" i="51" s="1"/>
  <c r="M192" i="58"/>
  <c r="L192" i="58"/>
  <c r="R192" i="58"/>
  <c r="O192" i="58"/>
  <c r="P192" i="58"/>
  <c r="J281" i="58"/>
  <c r="K281" i="58" s="1"/>
  <c r="S214" i="51" s="1"/>
  <c r="L281" i="58"/>
  <c r="M281" i="58"/>
  <c r="R281" i="58"/>
  <c r="N281" i="58"/>
  <c r="O281" i="58"/>
  <c r="J199" i="58"/>
  <c r="K199" i="58" s="1"/>
  <c r="S120" i="51" s="1"/>
  <c r="R199" i="58"/>
  <c r="L199" i="58"/>
  <c r="S199" i="58" s="1"/>
  <c r="O199" i="58"/>
  <c r="N199" i="58"/>
  <c r="Q199" i="58"/>
  <c r="M199" i="58"/>
  <c r="P199" i="58"/>
  <c r="P173" i="58"/>
  <c r="I173" i="58"/>
  <c r="R198" i="58"/>
  <c r="J314" i="58"/>
  <c r="K314" i="58" s="1"/>
  <c r="S253" i="51" s="1"/>
  <c r="N314" i="58"/>
  <c r="R314" i="58"/>
  <c r="M314" i="58"/>
  <c r="O314" i="58"/>
  <c r="L314" i="58"/>
  <c r="J293" i="58"/>
  <c r="K293" i="58" s="1"/>
  <c r="S229" i="51" s="1"/>
  <c r="N293" i="58"/>
  <c r="L293" i="58"/>
  <c r="O293" i="58"/>
  <c r="M293" i="58"/>
  <c r="Q320" i="58"/>
  <c r="I320" i="58"/>
  <c r="J261" i="58"/>
  <c r="K261" i="58" s="1"/>
  <c r="S191" i="51" s="1"/>
  <c r="P261" i="58"/>
  <c r="Q261" i="58"/>
  <c r="O261" i="58"/>
  <c r="M261" i="58"/>
  <c r="L261" i="58"/>
  <c r="J272" i="58"/>
  <c r="K272" i="58" s="1"/>
  <c r="S205" i="51" s="1"/>
  <c r="N272" i="58"/>
  <c r="R272" i="58"/>
  <c r="O272" i="58"/>
  <c r="L272" i="58"/>
  <c r="P176" i="58"/>
  <c r="I176" i="58"/>
  <c r="O321" i="58"/>
  <c r="P323" i="58"/>
  <c r="I323" i="58"/>
  <c r="J269" i="58"/>
  <c r="K269" i="58" s="1"/>
  <c r="S202" i="51" s="1"/>
  <c r="N269" i="58"/>
  <c r="L269" i="58"/>
  <c r="R269" i="58"/>
  <c r="M269" i="58"/>
  <c r="J158" i="58"/>
  <c r="K158" i="58" s="1"/>
  <c r="S73" i="51" s="1"/>
  <c r="M158" i="58"/>
  <c r="L158" i="58"/>
  <c r="N158" i="58"/>
  <c r="R158" i="58"/>
  <c r="I172" i="58"/>
  <c r="P172" i="58" s="1"/>
  <c r="J218" i="58"/>
  <c r="K218" i="58" s="1"/>
  <c r="S142" i="51" s="1"/>
  <c r="L218" i="58"/>
  <c r="O218" i="58"/>
  <c r="N218" i="58"/>
  <c r="P218" i="58"/>
  <c r="O223" i="58"/>
  <c r="J169" i="58"/>
  <c r="K169" i="58" s="1"/>
  <c r="S87" i="51" s="1"/>
  <c r="L169" i="58"/>
  <c r="R169" i="58"/>
  <c r="P169" i="58"/>
  <c r="M169" i="58"/>
  <c r="N169" i="58"/>
  <c r="O169" i="58"/>
  <c r="J277" i="58"/>
  <c r="K277" i="58" s="1"/>
  <c r="S210" i="51" s="1"/>
  <c r="M277" i="58"/>
  <c r="L277" i="58"/>
  <c r="N277" i="58"/>
  <c r="P277" i="58"/>
  <c r="O277" i="58"/>
  <c r="J265" i="58"/>
  <c r="K265" i="58" s="1"/>
  <c r="S198" i="51" s="1"/>
  <c r="L265" i="58"/>
  <c r="M265" i="58"/>
  <c r="N265" i="58"/>
  <c r="O265" i="58"/>
  <c r="P265" i="58"/>
  <c r="Q265" i="58"/>
  <c r="I297" i="58"/>
  <c r="J308" i="58"/>
  <c r="K308" i="58" s="1"/>
  <c r="S247" i="51" s="1"/>
  <c r="P308" i="58"/>
  <c r="N308" i="58"/>
  <c r="R308" i="58"/>
  <c r="M308" i="58"/>
  <c r="O308" i="58"/>
  <c r="R206" i="58"/>
  <c r="I206" i="58"/>
  <c r="L308" i="58"/>
  <c r="J282" i="58"/>
  <c r="K282" i="58" s="1"/>
  <c r="S215" i="51" s="1"/>
  <c r="N282" i="58"/>
  <c r="P282" i="58"/>
  <c r="M282" i="58"/>
  <c r="L282" i="58"/>
  <c r="J223" i="58"/>
  <c r="K223" i="58" s="1"/>
  <c r="S147" i="51" s="1"/>
  <c r="M223" i="58"/>
  <c r="Q223" i="58"/>
  <c r="L223" i="58"/>
  <c r="P223" i="58"/>
  <c r="J324" i="58"/>
  <c r="K324" i="58" s="1"/>
  <c r="S263" i="51" s="1"/>
  <c r="M324" i="58"/>
  <c r="R324" i="58"/>
  <c r="L324" i="58"/>
  <c r="J222" i="58"/>
  <c r="K222" i="58" s="1"/>
  <c r="S146" i="51" s="1"/>
  <c r="L222" i="58"/>
  <c r="N222" i="58"/>
  <c r="Q222" i="58"/>
  <c r="P222" i="58"/>
  <c r="M222" i="58"/>
  <c r="O222" i="58"/>
  <c r="J304" i="58"/>
  <c r="K304" i="58" s="1"/>
  <c r="S240" i="51" s="1"/>
  <c r="M304" i="58"/>
  <c r="L304" i="58"/>
  <c r="P304" i="58"/>
  <c r="N304" i="58"/>
  <c r="O304" i="58"/>
  <c r="I217" i="58"/>
  <c r="J305" i="58"/>
  <c r="K305" i="58" s="1"/>
  <c r="S244" i="51" s="1"/>
  <c r="M305" i="58"/>
  <c r="L305" i="58"/>
  <c r="O305" i="58"/>
  <c r="J189" i="58"/>
  <c r="K189" i="58" s="1"/>
  <c r="S110" i="51" s="1"/>
  <c r="O189" i="58"/>
  <c r="P189" i="58"/>
  <c r="L189" i="58"/>
  <c r="N189" i="58"/>
  <c r="M189" i="58"/>
  <c r="I258" i="58"/>
  <c r="J215" i="58"/>
  <c r="K215" i="58" s="1"/>
  <c r="S139" i="51" s="1"/>
  <c r="M215" i="58"/>
  <c r="S215" i="58" s="1"/>
  <c r="N215" i="58"/>
  <c r="O215" i="58"/>
  <c r="Q215" i="58"/>
  <c r="R215" i="58"/>
  <c r="J157" i="58"/>
  <c r="K157" i="58" s="1"/>
  <c r="S72" i="51" s="1"/>
  <c r="N157" i="58"/>
  <c r="Q157" i="58"/>
  <c r="O157" i="58"/>
  <c r="M157" i="58"/>
  <c r="L157" i="58"/>
  <c r="J193" i="58"/>
  <c r="K193" i="58" s="1"/>
  <c r="S114" i="51" s="1"/>
  <c r="M193" i="58"/>
  <c r="L193" i="58"/>
  <c r="R193" i="58"/>
  <c r="P193" i="58"/>
  <c r="O193" i="58"/>
  <c r="S197" i="58"/>
  <c r="I198" i="58"/>
  <c r="J180" i="58"/>
  <c r="K180" i="58" s="1"/>
  <c r="S98" i="51" s="1"/>
  <c r="L180" i="58"/>
  <c r="Q180" i="58"/>
  <c r="M180" i="58"/>
  <c r="O180" i="58"/>
  <c r="J283" i="58"/>
  <c r="K283" i="58" s="1"/>
  <c r="S216" i="51" s="1"/>
  <c r="Q283" i="58"/>
  <c r="N283" i="58"/>
  <c r="M283" i="58"/>
  <c r="R283" i="58"/>
  <c r="L283" i="58"/>
  <c r="Q314" i="58"/>
  <c r="J183" i="58"/>
  <c r="K183" i="58" s="1"/>
  <c r="S101" i="51" s="1"/>
  <c r="L183" i="58"/>
  <c r="P183" i="58"/>
  <c r="R183" i="58"/>
  <c r="N183" i="58"/>
  <c r="Q183" i="58"/>
  <c r="M183" i="58"/>
  <c r="J299" i="58"/>
  <c r="K299" i="58" s="1"/>
  <c r="S235" i="51" s="1"/>
  <c r="R299" i="58"/>
  <c r="O299" i="58"/>
  <c r="M299" i="58"/>
  <c r="S299" i="58" s="1"/>
  <c r="N299" i="58"/>
  <c r="P299" i="58"/>
  <c r="J298" i="58"/>
  <c r="K298" i="58" s="1"/>
  <c r="S234" i="51" s="1"/>
  <c r="L298" i="58"/>
  <c r="N298" i="58"/>
  <c r="R298" i="58"/>
  <c r="M298" i="58"/>
  <c r="O298" i="58"/>
  <c r="O205" i="58"/>
  <c r="I205" i="58"/>
  <c r="J190" i="58"/>
  <c r="K190" i="58" s="1"/>
  <c r="S111" i="51" s="1"/>
  <c r="N190" i="58"/>
  <c r="P190" i="58"/>
  <c r="Q190" i="58"/>
  <c r="M190" i="58"/>
  <c r="L190" i="58"/>
  <c r="O190" i="58"/>
  <c r="J219" i="58"/>
  <c r="K219" i="58" s="1"/>
  <c r="S143" i="51" s="1"/>
  <c r="M219" i="58"/>
  <c r="N219" i="58"/>
  <c r="L219" i="58"/>
  <c r="R219" i="58"/>
  <c r="O219" i="58"/>
  <c r="P219" i="58"/>
  <c r="J312" i="58"/>
  <c r="K312" i="58" s="1"/>
  <c r="S251" i="51" s="1"/>
  <c r="N312" i="58"/>
  <c r="O312" i="58"/>
  <c r="P312" i="58"/>
  <c r="L312" i="58"/>
  <c r="M312" i="58"/>
  <c r="J291" i="58"/>
  <c r="K291" i="58" s="1"/>
  <c r="S227" i="51" s="1"/>
  <c r="M291" i="58"/>
  <c r="N291" i="58"/>
  <c r="P291" i="58"/>
  <c r="O291" i="58"/>
  <c r="J210" i="58"/>
  <c r="K210" i="58" s="1"/>
  <c r="S134" i="51" s="1"/>
  <c r="O210" i="58"/>
  <c r="L210" i="58"/>
  <c r="S210" i="58" s="1"/>
  <c r="M210" i="58"/>
  <c r="N210" i="58"/>
  <c r="J311" i="58"/>
  <c r="K311" i="58" s="1"/>
  <c r="S250" i="51" s="1"/>
  <c r="M311" i="58"/>
  <c r="R311" i="58"/>
  <c r="N311" i="58"/>
  <c r="P311" i="58"/>
  <c r="L311" i="58"/>
  <c r="S311" i="58" s="1"/>
  <c r="J187" i="58"/>
  <c r="K187" i="58" s="1"/>
  <c r="S108" i="51" s="1"/>
  <c r="M187" i="58"/>
  <c r="N187" i="58"/>
  <c r="P187" i="58"/>
  <c r="R187" i="58"/>
  <c r="O187" i="58"/>
  <c r="L187" i="58"/>
  <c r="J186" i="58"/>
  <c r="K186" i="58" s="1"/>
  <c r="S107" i="51" s="1"/>
  <c r="M186" i="58"/>
  <c r="R186" i="58"/>
  <c r="L186" i="58"/>
  <c r="S186" i="58" s="1"/>
  <c r="N186" i="58"/>
  <c r="P186" i="58"/>
  <c r="O186" i="58"/>
  <c r="Q187" i="58"/>
  <c r="R321" i="58"/>
  <c r="P293" i="58"/>
  <c r="J319" i="58"/>
  <c r="K319" i="58" s="1"/>
  <c r="S258" i="51" s="1"/>
  <c r="M319" i="58"/>
  <c r="Q319" i="58"/>
  <c r="L319" i="58"/>
  <c r="N319" i="58"/>
  <c r="O319" i="58"/>
  <c r="J211" i="58"/>
  <c r="K211" i="58" s="1"/>
  <c r="S135" i="51" s="1"/>
  <c r="L211" i="58"/>
  <c r="R211" i="58"/>
  <c r="O211" i="58"/>
  <c r="Q211" i="58"/>
  <c r="M211" i="58"/>
  <c r="N211" i="58"/>
  <c r="J175" i="58"/>
  <c r="K175" i="58" s="1"/>
  <c r="S93" i="51" s="1"/>
  <c r="M175" i="58"/>
  <c r="P175" i="58"/>
  <c r="O175" i="58"/>
  <c r="L175" i="58"/>
  <c r="N175" i="58"/>
  <c r="R175" i="58"/>
  <c r="J196" i="58"/>
  <c r="K196" i="58" s="1"/>
  <c r="S117" i="51" s="1"/>
  <c r="O196" i="58"/>
  <c r="L196" i="58"/>
  <c r="S196" i="58" s="1"/>
  <c r="N196" i="58"/>
  <c r="M196" i="58"/>
  <c r="P274" i="58"/>
  <c r="I274" i="58"/>
  <c r="M270" i="58"/>
  <c r="J270" i="58"/>
  <c r="K270" i="58" s="1"/>
  <c r="S203" i="51" s="1"/>
  <c r="R270" i="58"/>
  <c r="O270" i="58"/>
  <c r="L270" i="58"/>
  <c r="N270" i="58"/>
  <c r="P270" i="58"/>
  <c r="I181" i="58"/>
  <c r="O181" i="58" s="1"/>
  <c r="I322" i="58"/>
  <c r="J170" i="58"/>
  <c r="K170" i="58" s="1"/>
  <c r="S88" i="51" s="1"/>
  <c r="M170" i="58"/>
  <c r="O170" i="58"/>
  <c r="R170" i="58"/>
  <c r="L170" i="58"/>
  <c r="I262" i="58"/>
  <c r="Q262" i="58" s="1"/>
  <c r="J268" i="58"/>
  <c r="K268" i="58" s="1"/>
  <c r="S201" i="51" s="1"/>
  <c r="M268" i="58"/>
  <c r="L268" i="58"/>
  <c r="S268" i="58" s="1"/>
  <c r="P268" i="58"/>
  <c r="R268" i="58"/>
  <c r="N268" i="58"/>
  <c r="O268" i="58"/>
  <c r="J191" i="58"/>
  <c r="K191" i="58" s="1"/>
  <c r="S112" i="51" s="1"/>
  <c r="L191" i="58"/>
  <c r="M191" i="58"/>
  <c r="O191" i="58"/>
  <c r="N191" i="58"/>
  <c r="J224" i="58"/>
  <c r="K224" i="58" s="1"/>
  <c r="S148" i="51" s="1"/>
  <c r="M224" i="58"/>
  <c r="R224" i="58"/>
  <c r="O224" i="58"/>
  <c r="L224" i="58"/>
  <c r="Q224" i="58"/>
  <c r="R201" i="58"/>
  <c r="I201" i="58"/>
  <c r="R304" i="58"/>
  <c r="J214" i="58"/>
  <c r="K214" i="58" s="1"/>
  <c r="S138" i="51" s="1"/>
  <c r="O214" i="58"/>
  <c r="L214" i="58"/>
  <c r="M214" i="58"/>
  <c r="N214" i="58"/>
  <c r="R214" i="58"/>
  <c r="J292" i="58"/>
  <c r="K292" i="58" s="1"/>
  <c r="S228" i="51" s="1"/>
  <c r="N292" i="58"/>
  <c r="M292" i="58"/>
  <c r="R292" i="58"/>
  <c r="L292" i="58"/>
  <c r="P292" i="58"/>
  <c r="R265" i="58"/>
  <c r="O183" i="58"/>
  <c r="R196" i="58"/>
  <c r="O311" i="58"/>
  <c r="Q277" i="58"/>
  <c r="Q193" i="58"/>
  <c r="Q188" i="58"/>
  <c r="Q214" i="58"/>
  <c r="J207" i="58"/>
  <c r="K207" i="58" s="1"/>
  <c r="S131" i="51" s="1"/>
  <c r="L207" i="58"/>
  <c r="P318" i="58"/>
  <c r="J182" i="58"/>
  <c r="K182" i="58" s="1"/>
  <c r="S100" i="51" s="1"/>
  <c r="N182" i="58"/>
  <c r="M182" i="58"/>
  <c r="L182" i="58"/>
  <c r="Q176" i="58"/>
  <c r="Q203" i="58"/>
  <c r="I165" i="58"/>
  <c r="J295" i="58"/>
  <c r="K295" i="58" s="1"/>
  <c r="S231" i="51" s="1"/>
  <c r="L295" i="58"/>
  <c r="N295" i="58"/>
  <c r="J289" i="58"/>
  <c r="K289" i="58" s="1"/>
  <c r="S225" i="51" s="1"/>
  <c r="L289" i="58"/>
  <c r="S289" i="58" s="1"/>
  <c r="M289" i="58"/>
  <c r="P289" i="58"/>
  <c r="Q289" i="58"/>
  <c r="N289" i="58"/>
  <c r="P200" i="58"/>
  <c r="R176" i="58"/>
  <c r="J178" i="58"/>
  <c r="K178" i="58" s="1"/>
  <c r="S96" i="51" s="1"/>
  <c r="L178" i="58"/>
  <c r="S178" i="58" s="1"/>
  <c r="M178" i="58"/>
  <c r="J162" i="58"/>
  <c r="K162" i="58" s="1"/>
  <c r="S77" i="51" s="1"/>
  <c r="L162" i="58"/>
  <c r="O162" i="58"/>
  <c r="J259" i="58"/>
  <c r="K259" i="58" s="1"/>
  <c r="S189" i="51" s="1"/>
  <c r="N259" i="58"/>
  <c r="M259" i="58"/>
  <c r="S259" i="58" s="1"/>
  <c r="O317" i="58"/>
  <c r="R296" i="58"/>
  <c r="P178" i="58"/>
  <c r="J279" i="58"/>
  <c r="K279" i="58" s="1"/>
  <c r="S212" i="51" s="1"/>
  <c r="O279" i="58"/>
  <c r="M279" i="58"/>
  <c r="L279" i="58"/>
  <c r="N279" i="58"/>
  <c r="Q279" i="58"/>
  <c r="R263" i="58"/>
  <c r="P179" i="58"/>
  <c r="R309" i="58"/>
  <c r="Q318" i="58"/>
  <c r="N315" i="58"/>
  <c r="P207" i="58"/>
  <c r="O178" i="58"/>
  <c r="O207" i="58"/>
  <c r="J208" i="58"/>
  <c r="K208" i="58" s="1"/>
  <c r="S132" i="51" s="1"/>
  <c r="L208" i="58"/>
  <c r="M208" i="58"/>
  <c r="N208" i="58"/>
  <c r="Q288" i="58"/>
  <c r="P269" i="58"/>
  <c r="Q295" i="58"/>
  <c r="R266" i="58"/>
  <c r="P162" i="58"/>
  <c r="Q301" i="58"/>
  <c r="P259" i="58"/>
  <c r="P288" i="58"/>
  <c r="P305" i="58"/>
  <c r="Q321" i="58"/>
  <c r="N166" i="58"/>
  <c r="P174" i="58"/>
  <c r="Q322" i="58"/>
  <c r="R305" i="58"/>
  <c r="P298" i="58"/>
  <c r="Q200" i="58"/>
  <c r="Q161" i="58"/>
  <c r="P203" i="58"/>
  <c r="Q258" i="58"/>
  <c r="Q282" i="58"/>
  <c r="P321" i="58"/>
  <c r="P188" i="58"/>
  <c r="M285" i="58"/>
  <c r="O201" i="58"/>
  <c r="J171" i="58"/>
  <c r="K171" i="58" s="1"/>
  <c r="S89" i="51" s="1"/>
  <c r="M171" i="58"/>
  <c r="N171" i="58"/>
  <c r="N310" i="58"/>
  <c r="N220" i="58"/>
  <c r="J212" i="58"/>
  <c r="K212" i="58" s="1"/>
  <c r="S136" i="51" s="1"/>
  <c r="O212" i="58"/>
  <c r="N212" i="58"/>
  <c r="L212" i="58"/>
  <c r="Q300" i="58"/>
  <c r="Q213" i="58"/>
  <c r="J163" i="58"/>
  <c r="K163" i="58" s="1"/>
  <c r="S78" i="51" s="1"/>
  <c r="L163" i="58"/>
  <c r="M163" i="58"/>
  <c r="N163" i="58"/>
  <c r="R295" i="58"/>
  <c r="M278" i="58"/>
  <c r="N203" i="58"/>
  <c r="S203" i="58" s="1"/>
  <c r="O203" i="58"/>
  <c r="M202" i="58"/>
  <c r="P184" i="58"/>
  <c r="R188" i="58"/>
  <c r="Q210" i="58"/>
  <c r="R178" i="58"/>
  <c r="R303" i="58"/>
  <c r="R261" i="58"/>
  <c r="P212" i="58"/>
  <c r="Q166" i="58"/>
  <c r="P309" i="58"/>
  <c r="L273" i="58"/>
  <c r="S273" i="58" s="1"/>
  <c r="J301" i="58"/>
  <c r="K301" i="58" s="1"/>
  <c r="S237" i="51" s="1"/>
  <c r="N301" i="58"/>
  <c r="S301" i="58" s="1"/>
  <c r="O301" i="58"/>
  <c r="R220" i="58"/>
  <c r="P163" i="58"/>
  <c r="P195" i="58"/>
  <c r="N278" i="58"/>
  <c r="L260" i="58"/>
  <c r="S260" i="58" s="1"/>
  <c r="Q220" i="58"/>
  <c r="Q285" i="58"/>
  <c r="Q257" i="58"/>
  <c r="R294" i="58"/>
  <c r="Q260" i="58"/>
  <c r="N309" i="58"/>
  <c r="J307" i="58"/>
  <c r="K307" i="58" s="1"/>
  <c r="S246" i="51" s="1"/>
  <c r="M307" i="58"/>
  <c r="S307" i="58" s="1"/>
  <c r="M266" i="58"/>
  <c r="P285" i="58"/>
  <c r="R163" i="58"/>
  <c r="R171" i="58"/>
  <c r="J197" i="58"/>
  <c r="K197" i="58" s="1"/>
  <c r="S118" i="51" s="1"/>
  <c r="M197" i="58"/>
  <c r="S216" i="58"/>
  <c r="O166" i="58"/>
  <c r="Q159" i="58"/>
  <c r="J202" i="58"/>
  <c r="K202" i="58" s="1"/>
  <c r="S123" i="51" s="1"/>
  <c r="O202" i="58"/>
  <c r="N202" i="58"/>
  <c r="L202" i="58"/>
  <c r="J267" i="58"/>
  <c r="K267" i="58" s="1"/>
  <c r="S200" i="51" s="1"/>
  <c r="O267" i="58"/>
  <c r="N267" i="58"/>
  <c r="L267" i="58"/>
  <c r="Q291" i="58"/>
  <c r="Q324" i="58"/>
  <c r="R197" i="58"/>
  <c r="P278" i="58"/>
  <c r="J286" i="58"/>
  <c r="K286" i="58" s="1"/>
  <c r="S222" i="51" s="1"/>
  <c r="N286" i="58"/>
  <c r="L286" i="58"/>
  <c r="Q263" i="58"/>
  <c r="R180" i="58"/>
  <c r="J315" i="58"/>
  <c r="K315" i="58" s="1"/>
  <c r="S254" i="51" s="1"/>
  <c r="M315" i="58"/>
  <c r="L315" i="58"/>
  <c r="R274" i="58"/>
  <c r="J194" i="58"/>
  <c r="K194" i="58" s="1"/>
  <c r="S115" i="51" s="1"/>
  <c r="M194" i="58"/>
  <c r="P161" i="58"/>
  <c r="Q280" i="58"/>
  <c r="J296" i="58"/>
  <c r="K296" i="58" s="1"/>
  <c r="S232" i="51" s="1"/>
  <c r="O296" i="58"/>
  <c r="M207" i="58"/>
  <c r="P204" i="58"/>
  <c r="R315" i="58"/>
  <c r="N266" i="58"/>
  <c r="O295" i="58"/>
  <c r="R288" i="58"/>
  <c r="R194" i="58"/>
  <c r="M286" i="58"/>
  <c r="O161" i="58"/>
  <c r="Q219" i="58"/>
  <c r="O182" i="58"/>
  <c r="I185" i="58"/>
  <c r="P185" i="58" s="1"/>
  <c r="O302" i="58"/>
  <c r="Q278" i="58"/>
  <c r="P267" i="58"/>
  <c r="Q189" i="58"/>
  <c r="R290" i="58"/>
  <c r="R161" i="58"/>
  <c r="Q194" i="58"/>
  <c r="Q212" i="58"/>
  <c r="N195" i="58"/>
  <c r="N178" i="58"/>
  <c r="N162" i="58"/>
  <c r="P260" i="58"/>
  <c r="R318" i="58"/>
  <c r="R218" i="58"/>
  <c r="O282" i="58"/>
  <c r="O204" i="58"/>
  <c r="J204" i="58"/>
  <c r="K204" i="58" s="1"/>
  <c r="S125" i="51" s="1"/>
  <c r="J263" i="58"/>
  <c r="K263" i="58" s="1"/>
  <c r="S193" i="51" s="1"/>
  <c r="L263" i="58"/>
  <c r="M263" i="58"/>
  <c r="J177" i="58"/>
  <c r="K177" i="58" s="1"/>
  <c r="S95" i="51" s="1"/>
  <c r="M177" i="58"/>
  <c r="S177" i="58" s="1"/>
  <c r="Q267" i="58"/>
  <c r="Q274" i="58"/>
  <c r="J160" i="58"/>
  <c r="K160" i="58" s="1"/>
  <c r="S75" i="51" s="1"/>
  <c r="M160" i="58"/>
  <c r="O160" i="58"/>
  <c r="P214" i="58"/>
  <c r="J221" i="58"/>
  <c r="K221" i="58" s="1"/>
  <c r="S145" i="51" s="1"/>
  <c r="M221" i="58"/>
  <c r="Q221" i="58"/>
  <c r="L278" i="58"/>
  <c r="J220" i="58"/>
  <c r="K220" i="58" s="1"/>
  <c r="S144" i="51" s="1"/>
  <c r="O220" i="58"/>
  <c r="L220" i="58"/>
  <c r="J309" i="58"/>
  <c r="K309" i="58" s="1"/>
  <c r="S248" i="51" s="1"/>
  <c r="L309" i="58"/>
  <c r="Q160" i="58"/>
  <c r="J294" i="58"/>
  <c r="K294" i="58" s="1"/>
  <c r="S230" i="51" s="1"/>
  <c r="L294" i="58"/>
  <c r="N294" i="58"/>
  <c r="O294" i="58"/>
  <c r="Q311" i="58"/>
  <c r="R157" i="58"/>
  <c r="N303" i="58"/>
  <c r="J290" i="58"/>
  <c r="K290" i="58" s="1"/>
  <c r="S226" i="51" s="1"/>
  <c r="L290" i="58"/>
  <c r="N290" i="58"/>
  <c r="Q308" i="58"/>
  <c r="M162" i="58"/>
  <c r="P197" i="58"/>
  <c r="P160" i="58"/>
  <c r="O259" i="58"/>
  <c r="Q186" i="58"/>
  <c r="N302" i="58"/>
  <c r="O213" i="58"/>
  <c r="N221" i="58"/>
  <c r="R177" i="58"/>
  <c r="O290" i="58"/>
  <c r="P295" i="58"/>
  <c r="N160" i="58"/>
  <c r="R210" i="58"/>
  <c r="J313" i="58"/>
  <c r="K313" i="58" s="1"/>
  <c r="S252" i="51" s="1"/>
  <c r="M313" i="58"/>
  <c r="R279" i="58"/>
  <c r="N296" i="58"/>
  <c r="S296" i="58" s="1"/>
  <c r="R189" i="58"/>
  <c r="R285" i="58"/>
  <c r="O188" i="58"/>
  <c r="Q171" i="58"/>
  <c r="Q313" i="58"/>
  <c r="S313" i="58" s="1"/>
  <c r="L221" i="58"/>
  <c r="Q207" i="58"/>
  <c r="R179" i="58"/>
  <c r="P279" i="58"/>
  <c r="R289" i="58"/>
  <c r="Q286" i="58"/>
  <c r="Q266" i="58"/>
  <c r="J303" i="58"/>
  <c r="K303" i="58" s="1"/>
  <c r="S239" i="51" s="1"/>
  <c r="L303" i="58"/>
  <c r="M303" i="58"/>
  <c r="J209" i="58"/>
  <c r="K209" i="58" s="1"/>
  <c r="S133" i="51" s="1"/>
  <c r="N209" i="58"/>
  <c r="M209" i="58"/>
  <c r="L209" i="58"/>
  <c r="Q316" i="58"/>
  <c r="Q192" i="58"/>
  <c r="J216" i="58"/>
  <c r="K216" i="58" s="1"/>
  <c r="S140" i="51" s="1"/>
  <c r="O216" i="58"/>
  <c r="P281" i="58"/>
  <c r="P303" i="58"/>
  <c r="O278" i="58"/>
  <c r="L161" i="58"/>
  <c r="S161" i="58" s="1"/>
  <c r="R293" i="58"/>
  <c r="Q191" i="58"/>
  <c r="Q298" i="58"/>
  <c r="J174" i="58"/>
  <c r="K174" i="58" s="1"/>
  <c r="S92" i="51" s="1"/>
  <c r="O174" i="58"/>
  <c r="N174" i="58"/>
  <c r="M174" i="58"/>
  <c r="S174" i="58" s="1"/>
  <c r="Q216" i="58"/>
  <c r="P319" i="58"/>
  <c r="Q197" i="58"/>
  <c r="N161" i="58"/>
  <c r="L166" i="58"/>
  <c r="S166" i="58" s="1"/>
  <c r="P198" i="58"/>
  <c r="Q218" i="58"/>
  <c r="R312" i="58"/>
  <c r="J300" i="58"/>
  <c r="K300" i="58" s="1"/>
  <c r="S236" i="51" s="1"/>
  <c r="O300" i="58"/>
  <c r="M300" i="58"/>
  <c r="R280" i="58"/>
  <c r="P283" i="58"/>
  <c r="I287" i="58"/>
  <c r="R204" i="58"/>
  <c r="P287" i="58"/>
  <c r="O171" i="58"/>
  <c r="L194" i="58"/>
  <c r="P300" i="58"/>
  <c r="N300" i="58"/>
  <c r="S300" i="58" s="1"/>
  <c r="P213" i="58"/>
  <c r="J257" i="58"/>
  <c r="K257" i="58" s="1"/>
  <c r="S187" i="51" s="1"/>
  <c r="L257" i="58"/>
  <c r="I275" i="58"/>
  <c r="R275" i="58" s="1"/>
  <c r="R209" i="58"/>
  <c r="J184" i="58"/>
  <c r="K184" i="58" s="1"/>
  <c r="S102" i="51" s="1"/>
  <c r="N184" i="58"/>
  <c r="L184" i="58"/>
  <c r="I306" i="58"/>
  <c r="P306" i="58" s="1"/>
  <c r="O309" i="58"/>
  <c r="J276" i="58"/>
  <c r="K276" i="58" s="1"/>
  <c r="S209" i="51" s="1"/>
  <c r="O276" i="58"/>
  <c r="S276" i="58" s="1"/>
  <c r="M276" i="58"/>
  <c r="M213" i="58"/>
  <c r="O208" i="58"/>
  <c r="M257" i="58"/>
  <c r="P273" i="58"/>
  <c r="P296" i="58"/>
  <c r="R162" i="58"/>
  <c r="R182" i="58"/>
  <c r="P266" i="58"/>
  <c r="I159" i="58"/>
  <c r="R267" i="58"/>
  <c r="Q259" i="58"/>
  <c r="O286" i="58"/>
  <c r="Q158" i="58"/>
  <c r="M310" i="58"/>
  <c r="S310" i="58" s="1"/>
  <c r="P324" i="58"/>
  <c r="N313" i="58"/>
  <c r="J168" i="58"/>
  <c r="K168" i="58" s="1"/>
  <c r="S86" i="51" s="1"/>
  <c r="L168" i="58"/>
  <c r="S168" i="58" s="1"/>
  <c r="O168" i="58"/>
  <c r="M168" i="58"/>
  <c r="R174" i="58"/>
  <c r="M220" i="58"/>
  <c r="M295" i="58"/>
  <c r="Q290" i="58"/>
  <c r="P294" i="58"/>
  <c r="R286" i="58"/>
  <c r="Q163" i="58"/>
  <c r="P168" i="58"/>
  <c r="R184" i="58"/>
  <c r="Q276" i="58"/>
  <c r="P205" i="58"/>
  <c r="R322" i="58"/>
  <c r="Q293" i="58"/>
  <c r="J285" i="58"/>
  <c r="K285" i="58" s="1"/>
  <c r="S221" i="51" s="1"/>
  <c r="O285" i="58"/>
  <c r="N285" i="58"/>
  <c r="S285" i="58" s="1"/>
  <c r="Q170" i="58"/>
  <c r="I167" i="58"/>
  <c r="R167" i="58" s="1"/>
  <c r="N193" i="58"/>
  <c r="J200" i="58"/>
  <c r="K200" i="58" s="1"/>
  <c r="S121" i="51" s="1"/>
  <c r="N200" i="58"/>
  <c r="L200" i="58"/>
  <c r="S200" i="58" s="1"/>
  <c r="Q268" i="58"/>
  <c r="N305" i="58"/>
  <c r="O209" i="58"/>
  <c r="O200" i="58"/>
  <c r="P191" i="58"/>
  <c r="O303" i="58"/>
  <c r="P216" i="58"/>
  <c r="P196" i="58"/>
  <c r="R278" i="58"/>
  <c r="O197" i="58"/>
  <c r="R277" i="58"/>
  <c r="N204" i="58"/>
  <c r="J266" i="58"/>
  <c r="K266" i="58" s="1"/>
  <c r="S199" i="51" s="1"/>
  <c r="L266" i="58"/>
  <c r="O283" i="58"/>
  <c r="P272" i="58"/>
  <c r="N207" i="58"/>
  <c r="Q177" i="58"/>
  <c r="L213" i="58"/>
  <c r="J260" i="58"/>
  <c r="K260" i="58" s="1"/>
  <c r="S190" i="51" s="1"/>
  <c r="M260" i="58"/>
  <c r="M204" i="58"/>
  <c r="S204" i="58" s="1"/>
  <c r="Q169" i="58"/>
  <c r="N213" i="58"/>
  <c r="L302" i="58"/>
  <c r="P211" i="58"/>
  <c r="P215" i="58"/>
  <c r="Q175" i="58"/>
  <c r="M267" i="58"/>
  <c r="J195" i="58"/>
  <c r="K195" i="58" s="1"/>
  <c r="S116" i="51" s="1"/>
  <c r="L195" i="58"/>
  <c r="O289" i="58"/>
  <c r="P317" i="58"/>
  <c r="P302" i="58"/>
  <c r="R202" i="58"/>
  <c r="Q299" i="58"/>
  <c r="P221" i="58"/>
  <c r="O263" i="58"/>
  <c r="P158" i="58"/>
  <c r="R260" i="58"/>
  <c r="P157" i="58"/>
  <c r="M309" i="58"/>
  <c r="R213" i="58"/>
  <c r="P286" i="58"/>
  <c r="R195" i="58"/>
  <c r="P171" i="58"/>
  <c r="R276" i="58"/>
  <c r="O221" i="58"/>
  <c r="R212" i="58"/>
  <c r="Q178" i="58"/>
  <c r="R313" i="58"/>
  <c r="P257" i="58"/>
  <c r="J318" i="58"/>
  <c r="K318" i="58" s="1"/>
  <c r="S257" i="51" s="1"/>
  <c r="L318" i="58"/>
  <c r="N318" i="58"/>
  <c r="Q196" i="58"/>
  <c r="N192" i="58"/>
  <c r="P314" i="58"/>
  <c r="R282" i="58"/>
  <c r="Q272" i="58"/>
  <c r="R190" i="58"/>
  <c r="O318" i="58"/>
  <c r="Q270" i="58"/>
  <c r="R191" i="58"/>
  <c r="J280" i="58"/>
  <c r="K280" i="58" s="1"/>
  <c r="S213" i="51" s="1"/>
  <c r="L280" i="58"/>
  <c r="R319" i="58"/>
  <c r="P224" i="58"/>
  <c r="J188" i="58"/>
  <c r="K188" i="58" s="1"/>
  <c r="S109" i="51" s="1"/>
  <c r="L188" i="58"/>
  <c r="M188" i="58"/>
  <c r="R223" i="58"/>
  <c r="N280" i="58"/>
  <c r="Q269" i="58"/>
  <c r="J288" i="58"/>
  <c r="K288" i="58" s="1"/>
  <c r="S224" i="51" s="1"/>
  <c r="N288" i="58"/>
  <c r="S288" i="58" s="1"/>
  <c r="O288" i="58"/>
  <c r="M280" i="58"/>
  <c r="P210" i="58"/>
  <c r="Q209" i="58"/>
  <c r="R291" i="58"/>
  <c r="S291" i="58" s="1"/>
  <c r="P180" i="58"/>
  <c r="J179" i="58"/>
  <c r="K179" i="58" s="1"/>
  <c r="S97" i="51" s="1"/>
  <c r="N179" i="58"/>
  <c r="O179" i="58"/>
  <c r="L179" i="58"/>
  <c r="J317" i="58"/>
  <c r="K317" i="58" s="1"/>
  <c r="S256" i="51" s="1"/>
  <c r="M317" i="58"/>
  <c r="S317" i="58" s="1"/>
  <c r="Q317" i="58"/>
  <c r="I316" i="58"/>
  <c r="M161" i="58"/>
  <c r="J302" i="58"/>
  <c r="K302" i="58" s="1"/>
  <c r="S238" i="51" s="1"/>
  <c r="M302" i="58"/>
  <c r="R166" i="58"/>
  <c r="Q292" i="58"/>
  <c r="R222" i="58"/>
  <c r="S171" i="58"/>
  <c r="P280" i="58"/>
  <c r="P202" i="58"/>
  <c r="Q281" i="58"/>
  <c r="N317" i="58"/>
  <c r="I271" i="58"/>
  <c r="P271" i="58" s="1"/>
  <c r="Q304" i="58"/>
  <c r="Q315" i="58"/>
  <c r="R259" i="58"/>
  <c r="R216" i="58"/>
  <c r="I284" i="58"/>
  <c r="P194" i="58"/>
  <c r="Q294" i="58"/>
  <c r="L160" i="58"/>
  <c r="R160" i="58"/>
  <c r="P290" i="58"/>
  <c r="R221" i="58"/>
  <c r="Q208" i="58"/>
  <c r="Q195" i="58"/>
  <c r="R302" i="58"/>
  <c r="U34" i="51"/>
  <c r="J284" i="58" l="1"/>
  <c r="K284" i="58" s="1"/>
  <c r="S217" i="51" s="1"/>
  <c r="O284" i="58"/>
  <c r="M284" i="58"/>
  <c r="N284" i="58"/>
  <c r="L284" i="58"/>
  <c r="S284" i="58" s="1"/>
  <c r="R284" i="58"/>
  <c r="S267" i="58"/>
  <c r="S290" i="58"/>
  <c r="P275" i="58"/>
  <c r="S318" i="58"/>
  <c r="J165" i="58"/>
  <c r="K165" i="58" s="1"/>
  <c r="S83" i="51" s="1"/>
  <c r="M165" i="58"/>
  <c r="O165" i="58"/>
  <c r="R165" i="58"/>
  <c r="P165" i="58"/>
  <c r="L165" i="58"/>
  <c r="N165" i="58"/>
  <c r="S175" i="58"/>
  <c r="S169" i="58"/>
  <c r="Q167" i="58"/>
  <c r="S266" i="58"/>
  <c r="J159" i="58"/>
  <c r="K159" i="58" s="1"/>
  <c r="S74" i="51" s="1"/>
  <c r="L159" i="58"/>
  <c r="P159" i="58"/>
  <c r="O159" i="58"/>
  <c r="N159" i="58"/>
  <c r="M159" i="58"/>
  <c r="R159" i="58"/>
  <c r="S263" i="58"/>
  <c r="S286" i="58"/>
  <c r="P167" i="58"/>
  <c r="P284" i="58"/>
  <c r="S207" i="58"/>
  <c r="J201" i="58"/>
  <c r="K201" i="58" s="1"/>
  <c r="S122" i="51" s="1"/>
  <c r="L201" i="58"/>
  <c r="M201" i="58"/>
  <c r="N201" i="58"/>
  <c r="P201" i="58"/>
  <c r="Q201" i="58"/>
  <c r="S190" i="58"/>
  <c r="J198" i="58"/>
  <c r="K198" i="58" s="1"/>
  <c r="S119" i="51" s="1"/>
  <c r="L198" i="58"/>
  <c r="M198" i="58"/>
  <c r="O198" i="58"/>
  <c r="N198" i="58"/>
  <c r="S308" i="58"/>
  <c r="S269" i="58"/>
  <c r="S272" i="58"/>
  <c r="S212" i="58"/>
  <c r="S304" i="58"/>
  <c r="S222" i="58"/>
  <c r="S223" i="58"/>
  <c r="S277" i="58"/>
  <c r="J172" i="58"/>
  <c r="K172" i="58" s="1"/>
  <c r="S90" i="51" s="1"/>
  <c r="N172" i="58"/>
  <c r="L172" i="58"/>
  <c r="S172" i="58" s="1"/>
  <c r="Q172" i="58"/>
  <c r="R172" i="58"/>
  <c r="O172" i="58"/>
  <c r="M172" i="58"/>
  <c r="J316" i="58"/>
  <c r="K316" i="58" s="1"/>
  <c r="S255" i="51" s="1"/>
  <c r="L316" i="58"/>
  <c r="N316" i="58"/>
  <c r="M316" i="58"/>
  <c r="O316" i="58"/>
  <c r="P316" i="58"/>
  <c r="S194" i="58"/>
  <c r="S303" i="58"/>
  <c r="S221" i="58"/>
  <c r="S294" i="58"/>
  <c r="S278" i="58"/>
  <c r="P262" i="58"/>
  <c r="S270" i="58"/>
  <c r="S211" i="58"/>
  <c r="S183" i="58"/>
  <c r="Q198" i="58"/>
  <c r="S157" i="58"/>
  <c r="S189" i="58"/>
  <c r="J206" i="58"/>
  <c r="K206" i="58" s="1"/>
  <c r="S130" i="51" s="1"/>
  <c r="M206" i="58"/>
  <c r="N206" i="58"/>
  <c r="O206" i="58"/>
  <c r="L206" i="58"/>
  <c r="Q206" i="58"/>
  <c r="P206" i="58"/>
  <c r="S293" i="58"/>
  <c r="S281" i="58"/>
  <c r="S321" i="58"/>
  <c r="J217" i="58"/>
  <c r="K217" i="58" s="1"/>
  <c r="S141" i="51" s="1"/>
  <c r="Q217" i="58"/>
  <c r="M217" i="58"/>
  <c r="P217" i="58"/>
  <c r="O217" i="58"/>
  <c r="N217" i="58"/>
  <c r="L217" i="58"/>
  <c r="J297" i="58"/>
  <c r="K297" i="58" s="1"/>
  <c r="S233" i="51" s="1"/>
  <c r="N297" i="58"/>
  <c r="Q297" i="58"/>
  <c r="L297" i="58"/>
  <c r="O297" i="58"/>
  <c r="M297" i="58"/>
  <c r="S280" i="58"/>
  <c r="S213" i="58"/>
  <c r="J167" i="58"/>
  <c r="K167" i="58" s="1"/>
  <c r="S85" i="51" s="1"/>
  <c r="L167" i="58"/>
  <c r="M167" i="58"/>
  <c r="O167" i="58"/>
  <c r="N167" i="58"/>
  <c r="P297" i="58"/>
  <c r="S315" i="58"/>
  <c r="S202" i="58"/>
  <c r="S163" i="58"/>
  <c r="R316" i="58"/>
  <c r="S279" i="58"/>
  <c r="S182" i="58"/>
  <c r="S224" i="58"/>
  <c r="S191" i="58"/>
  <c r="S187" i="58"/>
  <c r="S312" i="58"/>
  <c r="S219" i="58"/>
  <c r="R217" i="58"/>
  <c r="S282" i="58"/>
  <c r="S158" i="58"/>
  <c r="J323" i="58"/>
  <c r="K323" i="58" s="1"/>
  <c r="S262" i="51" s="1"/>
  <c r="M323" i="58"/>
  <c r="L323" i="58"/>
  <c r="N323" i="58"/>
  <c r="R323" i="58"/>
  <c r="Q323" i="58"/>
  <c r="O323" i="58"/>
  <c r="J320" i="58"/>
  <c r="K320" i="58" s="1"/>
  <c r="S259" i="51" s="1"/>
  <c r="N320" i="58"/>
  <c r="O320" i="58"/>
  <c r="L320" i="58"/>
  <c r="R320" i="58"/>
  <c r="P320" i="58"/>
  <c r="M320" i="58"/>
  <c r="J173" i="58"/>
  <c r="K173" i="58" s="1"/>
  <c r="S91" i="51" s="1"/>
  <c r="M173" i="58"/>
  <c r="L173" i="58"/>
  <c r="R173" i="58"/>
  <c r="Q173" i="58"/>
  <c r="N173" i="58"/>
  <c r="O173" i="58"/>
  <c r="S265" i="58"/>
  <c r="S160" i="58"/>
  <c r="S292" i="58"/>
  <c r="S214" i="58"/>
  <c r="J322" i="58"/>
  <c r="K322" i="58" s="1"/>
  <c r="S261" i="51" s="1"/>
  <c r="L322" i="58"/>
  <c r="O322" i="58"/>
  <c r="N322" i="58"/>
  <c r="M322" i="58"/>
  <c r="S298" i="58"/>
  <c r="S283" i="58"/>
  <c r="S314" i="58"/>
  <c r="J275" i="58"/>
  <c r="K275" i="58" s="1"/>
  <c r="S208" i="51" s="1"/>
  <c r="L275" i="58"/>
  <c r="N275" i="58"/>
  <c r="O275" i="58"/>
  <c r="Q275" i="58"/>
  <c r="M275" i="58"/>
  <c r="S324" i="58"/>
  <c r="J271" i="58"/>
  <c r="K271" i="58" s="1"/>
  <c r="S204" i="51" s="1"/>
  <c r="L271" i="58"/>
  <c r="S271" i="58" s="1"/>
  <c r="O271" i="58"/>
  <c r="N271" i="58"/>
  <c r="R271" i="58"/>
  <c r="M271" i="58"/>
  <c r="J185" i="58"/>
  <c r="K185" i="58" s="1"/>
  <c r="S106" i="51" s="1"/>
  <c r="M185" i="58"/>
  <c r="O185" i="58"/>
  <c r="L185" i="58"/>
  <c r="S185" i="58" s="1"/>
  <c r="Q185" i="58"/>
  <c r="N185" i="58"/>
  <c r="R185" i="58"/>
  <c r="S179" i="58"/>
  <c r="S302" i="58"/>
  <c r="J306" i="58"/>
  <c r="K306" i="58" s="1"/>
  <c r="S245" i="51" s="1"/>
  <c r="N306" i="58"/>
  <c r="R306" i="58"/>
  <c r="M306" i="58"/>
  <c r="L306" i="58"/>
  <c r="O306" i="58"/>
  <c r="Q306" i="58"/>
  <c r="J287" i="58"/>
  <c r="K287" i="58" s="1"/>
  <c r="S223" i="51" s="1"/>
  <c r="N287" i="58"/>
  <c r="O287" i="58"/>
  <c r="M287" i="58"/>
  <c r="L287" i="58"/>
  <c r="Q287" i="58"/>
  <c r="R287" i="58"/>
  <c r="S208" i="58"/>
  <c r="S295" i="58"/>
  <c r="Q165" i="58"/>
  <c r="Q271" i="58"/>
  <c r="J262" i="58"/>
  <c r="K262" i="58" s="1"/>
  <c r="S192" i="51" s="1"/>
  <c r="M262" i="58"/>
  <c r="O262" i="58"/>
  <c r="R262" i="58"/>
  <c r="L262" i="58"/>
  <c r="N262" i="58"/>
  <c r="P322" i="58"/>
  <c r="S319" i="58"/>
  <c r="J258" i="58"/>
  <c r="K258" i="58" s="1"/>
  <c r="S188" i="51" s="1"/>
  <c r="M258" i="58"/>
  <c r="P258" i="58"/>
  <c r="O258" i="58"/>
  <c r="N258" i="58"/>
  <c r="L258" i="58"/>
  <c r="S218" i="58"/>
  <c r="S261" i="58"/>
  <c r="R297" i="58"/>
  <c r="S257" i="58"/>
  <c r="S209" i="58"/>
  <c r="S309" i="58"/>
  <c r="Q284" i="58"/>
  <c r="S188" i="58"/>
  <c r="S195" i="58"/>
  <c r="S184" i="58"/>
  <c r="S220" i="58"/>
  <c r="S162" i="58"/>
  <c r="S170" i="58"/>
  <c r="J181" i="58"/>
  <c r="K181" i="58" s="1"/>
  <c r="S99" i="51" s="1"/>
  <c r="N181" i="58"/>
  <c r="L181" i="58"/>
  <c r="R181" i="58"/>
  <c r="M181" i="58"/>
  <c r="Q181" i="58"/>
  <c r="P181" i="58"/>
  <c r="J274" i="58"/>
  <c r="K274" i="58" s="1"/>
  <c r="S207" i="51" s="1"/>
  <c r="O274" i="58"/>
  <c r="L274" i="58"/>
  <c r="M274" i="58"/>
  <c r="N274" i="58"/>
  <c r="J205" i="58"/>
  <c r="K205" i="58" s="1"/>
  <c r="S129" i="51" s="1"/>
  <c r="M205" i="58"/>
  <c r="R205" i="58"/>
  <c r="L205" i="58"/>
  <c r="Q205" i="58"/>
  <c r="N205" i="58"/>
  <c r="S180" i="58"/>
  <c r="S193" i="58"/>
  <c r="R258" i="58"/>
  <c r="S305" i="58"/>
  <c r="J176" i="58"/>
  <c r="K176" i="58" s="1"/>
  <c r="S94" i="51" s="1"/>
  <c r="L176" i="58"/>
  <c r="O176" i="58"/>
  <c r="N176" i="58"/>
  <c r="M176" i="58"/>
  <c r="S192" i="58"/>
  <c r="D86" i="58"/>
  <c r="C98" i="58"/>
  <c r="X18" i="51"/>
  <c r="C99" i="58"/>
  <c r="X19" i="51"/>
  <c r="S165" i="58" l="1"/>
  <c r="S176" i="58"/>
  <c r="S205" i="58"/>
  <c r="S306" i="58"/>
  <c r="S217" i="58"/>
  <c r="S159" i="58"/>
  <c r="S287" i="58"/>
  <c r="S275" i="58"/>
  <c r="S322" i="58"/>
  <c r="S320" i="58"/>
  <c r="S323" i="58"/>
  <c r="S316" i="58"/>
  <c r="S297" i="58"/>
  <c r="S206" i="58"/>
  <c r="S201" i="58"/>
  <c r="S181" i="58"/>
  <c r="S198" i="58"/>
  <c r="S173" i="58"/>
  <c r="S258" i="58"/>
  <c r="S274" i="58"/>
  <c r="S262" i="58"/>
  <c r="S167" i="58"/>
  <c r="AA18" i="51"/>
  <c r="Z18" i="51"/>
  <c r="C100" i="58"/>
  <c r="X20" i="51"/>
  <c r="AA19" i="51" s="1"/>
  <c r="N37" i="51" l="1"/>
  <c r="C125" i="58" s="1"/>
  <c r="N36" i="51"/>
  <c r="Q151" i="51"/>
  <c r="Q59" i="51"/>
  <c r="Q174" i="51"/>
  <c r="Z19" i="51"/>
  <c r="N35" i="51" s="1"/>
  <c r="Q35" i="51" s="1"/>
  <c r="U35" i="51" s="1"/>
  <c r="Q161" i="51"/>
  <c r="D118" i="59" s="1"/>
  <c r="Q159" i="51"/>
  <c r="D116" i="59" s="1"/>
  <c r="D28" i="59"/>
  <c r="Q153" i="51"/>
  <c r="D110" i="59" s="1"/>
  <c r="Q67" i="51"/>
  <c r="D36" i="59" s="1"/>
  <c r="D22" i="59"/>
  <c r="Q160" i="51"/>
  <c r="D117" i="59" s="1"/>
  <c r="Q176" i="51"/>
  <c r="D130" i="59" s="1"/>
  <c r="Q169" i="51"/>
  <c r="D126" i="59" s="1"/>
  <c r="Q63" i="51"/>
  <c r="D32" i="59" s="1"/>
  <c r="Q177" i="51"/>
  <c r="D131" i="59" s="1"/>
  <c r="D17" i="59"/>
  <c r="Q175" i="51"/>
  <c r="D129" i="59" s="1"/>
  <c r="Q171" i="51"/>
  <c r="D128" i="59" s="1"/>
  <c r="D15" i="59"/>
  <c r="Q155" i="51"/>
  <c r="D112" i="59" s="1"/>
  <c r="Q152" i="51"/>
  <c r="D109" i="59" s="1"/>
  <c r="Q163" i="51"/>
  <c r="D120" i="59" s="1"/>
  <c r="D10" i="59"/>
  <c r="Q60" i="51"/>
  <c r="D29" i="59" s="1"/>
  <c r="T59" i="51" l="1"/>
  <c r="T151" i="51"/>
  <c r="H138" i="58"/>
  <c r="H152" i="58"/>
  <c r="H228" i="58"/>
  <c r="H246" i="58"/>
  <c r="H131" i="58"/>
  <c r="H233" i="58"/>
  <c r="T174" i="51"/>
  <c r="H126" i="58"/>
  <c r="H247" i="58"/>
  <c r="H144" i="58"/>
  <c r="H236" i="58"/>
  <c r="H244" i="58"/>
  <c r="H245" i="58"/>
  <c r="H145" i="58"/>
  <c r="H133" i="58"/>
  <c r="H226" i="58"/>
  <c r="H148" i="58"/>
  <c r="H232" i="58"/>
  <c r="H225" i="58"/>
  <c r="H242" i="58"/>
  <c r="H234" i="58"/>
  <c r="Q164" i="51"/>
  <c r="D121" i="59" s="1"/>
  <c r="Q166" i="51"/>
  <c r="D123" i="59" s="1"/>
  <c r="Q154" i="51"/>
  <c r="D111" i="59" s="1"/>
  <c r="D23" i="59"/>
  <c r="Q162" i="51"/>
  <c r="D119" i="59" s="1"/>
  <c r="D26" i="59"/>
  <c r="Q184" i="51"/>
  <c r="D138" i="59" s="1"/>
  <c r="Q65" i="51"/>
  <c r="D34" i="59" s="1"/>
  <c r="Q170" i="51"/>
  <c r="D127" i="59" s="1"/>
  <c r="Q181" i="51"/>
  <c r="D135" i="59" s="1"/>
  <c r="Q68" i="51"/>
  <c r="D37" i="59" s="1"/>
  <c r="Q70" i="51"/>
  <c r="D39" i="59" s="1"/>
  <c r="D11" i="59"/>
  <c r="Q182" i="51"/>
  <c r="D136" i="59" s="1"/>
  <c r="Q178" i="51"/>
  <c r="D132" i="59" s="1"/>
  <c r="Q167" i="51"/>
  <c r="D124" i="59" s="1"/>
  <c r="Q64" i="51"/>
  <c r="D33" i="59" s="1"/>
  <c r="Q61" i="51"/>
  <c r="D30" i="59" s="1"/>
  <c r="Q183" i="51"/>
  <c r="D137" i="59" s="1"/>
  <c r="Q185" i="51"/>
  <c r="D139" i="59" s="1"/>
  <c r="Q180" i="51"/>
  <c r="D134" i="59" s="1"/>
  <c r="D14" i="59"/>
  <c r="Q165" i="51"/>
  <c r="D122" i="59" s="1"/>
  <c r="Q71" i="51"/>
  <c r="D40" i="59" s="1"/>
  <c r="D25" i="59"/>
  <c r="Q194" i="51"/>
  <c r="D148" i="59" s="1"/>
  <c r="D18" i="59"/>
  <c r="Q79" i="51"/>
  <c r="D48" i="59" s="1"/>
  <c r="D12" i="59"/>
  <c r="Q69" i="51"/>
  <c r="D38" i="59" s="1"/>
  <c r="D20" i="59"/>
  <c r="Q186" i="51"/>
  <c r="D140" i="59" s="1"/>
  <c r="Q157" i="51"/>
  <c r="D114" i="59" s="1"/>
  <c r="D21" i="59"/>
  <c r="Q179" i="51"/>
  <c r="D133" i="59" s="1"/>
  <c r="D24" i="59"/>
  <c r="Q168" i="51"/>
  <c r="D125" i="59" s="1"/>
  <c r="D16" i="59"/>
  <c r="D27" i="59"/>
  <c r="D19" i="59"/>
  <c r="D13" i="59"/>
  <c r="Q62" i="51"/>
  <c r="D31" i="59" s="1"/>
  <c r="Q158" i="51"/>
  <c r="D115" i="59" s="1"/>
  <c r="Q156" i="51"/>
  <c r="D113" i="59" s="1"/>
  <c r="Q66" i="51"/>
  <c r="D35" i="59" s="1"/>
  <c r="U59" i="51"/>
  <c r="U174" i="51"/>
  <c r="R163" i="51"/>
  <c r="U151" i="51"/>
  <c r="R45" i="51"/>
  <c r="R171" i="51"/>
  <c r="R153" i="51"/>
  <c r="R155" i="51"/>
  <c r="R169" i="51"/>
  <c r="R50" i="51"/>
  <c r="R152" i="51"/>
  <c r="R43" i="51"/>
  <c r="R63" i="51"/>
  <c r="R160" i="51"/>
  <c r="R67" i="51"/>
  <c r="R60" i="51"/>
  <c r="R56" i="51"/>
  <c r="R176" i="51"/>
  <c r="R159" i="51"/>
  <c r="R177" i="51"/>
  <c r="R161" i="51"/>
  <c r="R38" i="51"/>
  <c r="R175" i="51"/>
  <c r="H125" i="58" l="1"/>
  <c r="D9" i="59"/>
  <c r="H147" i="58"/>
  <c r="U147" i="58" s="1"/>
  <c r="AI147" i="58" s="1"/>
  <c r="H134" i="58"/>
  <c r="T134" i="58" s="1"/>
  <c r="AH134" i="58" s="1"/>
  <c r="H227" i="58"/>
  <c r="U227" i="58" s="1"/>
  <c r="H129" i="58"/>
  <c r="Y129" i="58" s="1"/>
  <c r="H137" i="58"/>
  <c r="T137" i="58" s="1"/>
  <c r="AH137" i="58" s="1"/>
  <c r="H264" i="58"/>
  <c r="T264" i="58" s="1"/>
  <c r="AH264" i="58" s="1"/>
  <c r="H239" i="58"/>
  <c r="W239" i="58" s="1"/>
  <c r="H135" i="58"/>
  <c r="AE135" i="58" s="1"/>
  <c r="H230" i="58"/>
  <c r="AE230" i="58" s="1"/>
  <c r="H237" i="58"/>
  <c r="U237" i="58" s="1"/>
  <c r="H143" i="58"/>
  <c r="W143" i="58" s="1"/>
  <c r="H132" i="58"/>
  <c r="AC132" i="58" s="1"/>
  <c r="H252" i="58"/>
  <c r="W252" i="58" s="1"/>
  <c r="H151" i="58"/>
  <c r="AC151" i="58" s="1"/>
  <c r="H229" i="58"/>
  <c r="AG229" i="58" s="1"/>
  <c r="H128" i="58"/>
  <c r="U128" i="58" s="1"/>
  <c r="AI128" i="58" s="1"/>
  <c r="H250" i="58"/>
  <c r="AG250" i="58" s="1"/>
  <c r="H127" i="58"/>
  <c r="T127" i="58" s="1"/>
  <c r="AH127" i="58" s="1"/>
  <c r="H139" i="58"/>
  <c r="T139" i="58" s="1"/>
  <c r="R166" i="51"/>
  <c r="R185" i="51"/>
  <c r="H255" i="58"/>
  <c r="R52" i="51"/>
  <c r="H140" i="58"/>
  <c r="R70" i="51"/>
  <c r="H155" i="58"/>
  <c r="R162" i="51"/>
  <c r="H235" i="58"/>
  <c r="AD235" i="58" s="1"/>
  <c r="R158" i="51"/>
  <c r="H231" i="58"/>
  <c r="R79" i="51"/>
  <c r="H164" i="58"/>
  <c r="R179" i="51"/>
  <c r="H249" i="58"/>
  <c r="R68" i="51"/>
  <c r="H153" i="58"/>
  <c r="R61" i="51"/>
  <c r="H146" i="58"/>
  <c r="R181" i="51"/>
  <c r="H251" i="58"/>
  <c r="R53" i="51"/>
  <c r="H141" i="58"/>
  <c r="R64" i="51"/>
  <c r="H149" i="58"/>
  <c r="R170" i="51"/>
  <c r="H243" i="58"/>
  <c r="R183" i="51"/>
  <c r="H253" i="58"/>
  <c r="R186" i="51"/>
  <c r="H256" i="58"/>
  <c r="AG256" i="58" s="1"/>
  <c r="R71" i="51"/>
  <c r="H156" i="58"/>
  <c r="R167" i="51"/>
  <c r="H240" i="58"/>
  <c r="X240" i="58" s="1"/>
  <c r="R65" i="51"/>
  <c r="H150" i="58"/>
  <c r="R48" i="51"/>
  <c r="H136" i="58"/>
  <c r="R165" i="51"/>
  <c r="H238" i="58"/>
  <c r="R178" i="51"/>
  <c r="H248" i="58"/>
  <c r="R184" i="51"/>
  <c r="H254" i="58"/>
  <c r="R69" i="51"/>
  <c r="H154" i="58"/>
  <c r="R42" i="51"/>
  <c r="H130" i="58"/>
  <c r="R54" i="51"/>
  <c r="H142" i="58"/>
  <c r="W142" i="58" s="1"/>
  <c r="R168" i="51"/>
  <c r="H241" i="58"/>
  <c r="R164" i="51"/>
  <c r="T36" i="51"/>
  <c r="U36" i="51" s="1"/>
  <c r="R154" i="51"/>
  <c r="R40" i="51"/>
  <c r="R37" i="51"/>
  <c r="T232" i="58"/>
  <c r="U232" i="58"/>
  <c r="V232" i="58"/>
  <c r="W232" i="58"/>
  <c r="V244" i="58"/>
  <c r="U244" i="58"/>
  <c r="T244" i="58"/>
  <c r="AH244" i="58" s="1"/>
  <c r="W244" i="58"/>
  <c r="V228" i="58"/>
  <c r="W228" i="58"/>
  <c r="U228" i="58"/>
  <c r="T228" i="58"/>
  <c r="AH228" i="58" s="1"/>
  <c r="W133" i="58"/>
  <c r="V133" i="58"/>
  <c r="T133" i="58"/>
  <c r="AH133" i="58" s="1"/>
  <c r="U133" i="58"/>
  <c r="AI133" i="58" s="1"/>
  <c r="V152" i="58"/>
  <c r="W152" i="58"/>
  <c r="T152" i="58"/>
  <c r="AH152" i="58" s="1"/>
  <c r="U152" i="58"/>
  <c r="AI152" i="58" s="1"/>
  <c r="W226" i="58"/>
  <c r="U226" i="58"/>
  <c r="AI226" i="58" s="1"/>
  <c r="V226" i="58"/>
  <c r="T226" i="58"/>
  <c r="W145" i="58"/>
  <c r="T145" i="58"/>
  <c r="AH145" i="58" s="1"/>
  <c r="V145" i="58"/>
  <c r="U145" i="58"/>
  <c r="AI145" i="58" s="1"/>
  <c r="W236" i="58"/>
  <c r="U236" i="58"/>
  <c r="T236" i="58"/>
  <c r="AH236" i="58" s="1"/>
  <c r="V236" i="58"/>
  <c r="T126" i="58"/>
  <c r="AH126" i="58" s="1"/>
  <c r="W126" i="58"/>
  <c r="U126" i="58"/>
  <c r="AI126" i="58" s="1"/>
  <c r="V126" i="58"/>
  <c r="V246" i="58"/>
  <c r="U246" i="58"/>
  <c r="AI246" i="58" s="1"/>
  <c r="W246" i="58"/>
  <c r="T246" i="58"/>
  <c r="AH246" i="58" s="1"/>
  <c r="W144" i="58"/>
  <c r="T144" i="58"/>
  <c r="AH144" i="58" s="1"/>
  <c r="V144" i="58"/>
  <c r="U144" i="58"/>
  <c r="AI144" i="58" s="1"/>
  <c r="T233" i="58"/>
  <c r="U233" i="58"/>
  <c r="V233" i="58"/>
  <c r="W233" i="58"/>
  <c r="T148" i="58"/>
  <c r="AH148" i="58" s="1"/>
  <c r="U148" i="58"/>
  <c r="AI148" i="58" s="1"/>
  <c r="W148" i="58"/>
  <c r="V148" i="58"/>
  <c r="U131" i="58"/>
  <c r="AI131" i="58" s="1"/>
  <c r="T131" i="58"/>
  <c r="AH131" i="58" s="1"/>
  <c r="W131" i="58"/>
  <c r="V131" i="58"/>
  <c r="V245" i="58"/>
  <c r="U245" i="58"/>
  <c r="AI245" i="58" s="1"/>
  <c r="T245" i="58"/>
  <c r="AH245" i="58" s="1"/>
  <c r="W245" i="58"/>
  <c r="W225" i="58"/>
  <c r="U225" i="58"/>
  <c r="V225" i="58"/>
  <c r="T225" i="58"/>
  <c r="AH225" i="58" s="1"/>
  <c r="W138" i="58"/>
  <c r="V138" i="58"/>
  <c r="U138" i="58"/>
  <c r="AI138" i="58" s="1"/>
  <c r="T138" i="58"/>
  <c r="AH138" i="58" s="1"/>
  <c r="U234" i="58"/>
  <c r="W234" i="58"/>
  <c r="V234" i="58"/>
  <c r="T234" i="58"/>
  <c r="U242" i="58"/>
  <c r="AI242" i="58" s="1"/>
  <c r="W242" i="58"/>
  <c r="V242" i="58"/>
  <c r="T242" i="58"/>
  <c r="AH242" i="58" s="1"/>
  <c r="W247" i="58"/>
  <c r="V247" i="58"/>
  <c r="U247" i="58"/>
  <c r="AI247" i="58" s="1"/>
  <c r="T247" i="58"/>
  <c r="AH247" i="58" s="1"/>
  <c r="R194" i="51"/>
  <c r="R51" i="51"/>
  <c r="R157" i="51"/>
  <c r="R39" i="51"/>
  <c r="R182" i="51"/>
  <c r="R44" i="51"/>
  <c r="R55" i="51"/>
  <c r="R156" i="51"/>
  <c r="R47" i="51"/>
  <c r="R66" i="51"/>
  <c r="R49" i="51"/>
  <c r="R46" i="51"/>
  <c r="R180" i="51"/>
  <c r="R41" i="51"/>
  <c r="R62" i="51"/>
  <c r="AF246" i="58"/>
  <c r="AD246" i="58"/>
  <c r="AG246" i="58"/>
  <c r="AC246" i="58"/>
  <c r="AE246" i="58"/>
  <c r="AC131" i="58"/>
  <c r="AF131" i="58"/>
  <c r="AD131" i="58"/>
  <c r="AG131" i="58"/>
  <c r="AE131" i="58"/>
  <c r="AG126" i="58"/>
  <c r="AF126" i="58"/>
  <c r="AC126" i="58"/>
  <c r="AD126" i="58"/>
  <c r="AE126" i="58"/>
  <c r="AG133" i="58"/>
  <c r="AC133" i="58"/>
  <c r="AD133" i="58"/>
  <c r="AE133" i="58"/>
  <c r="AF133" i="58"/>
  <c r="AE247" i="58"/>
  <c r="AG247" i="58"/>
  <c r="AF247" i="58"/>
  <c r="AD247" i="58"/>
  <c r="AC247" i="58"/>
  <c r="AC242" i="58"/>
  <c r="AD242" i="58"/>
  <c r="AF242" i="58"/>
  <c r="AE242" i="58"/>
  <c r="AG242" i="58"/>
  <c r="AD144" i="58"/>
  <c r="AF144" i="58"/>
  <c r="AE144" i="58"/>
  <c r="AC144" i="58"/>
  <c r="AG144" i="58"/>
  <c r="AE225" i="58"/>
  <c r="AC225" i="58"/>
  <c r="AG225" i="58"/>
  <c r="AF225" i="58"/>
  <c r="AD225" i="58"/>
  <c r="AG152" i="58"/>
  <c r="AF152" i="58"/>
  <c r="AC152" i="58"/>
  <c r="AE152" i="58"/>
  <c r="AD152" i="58"/>
  <c r="AF228" i="58"/>
  <c r="AD228" i="58"/>
  <c r="AE228" i="58"/>
  <c r="AG228" i="58"/>
  <c r="AC228" i="58"/>
  <c r="AG232" i="58"/>
  <c r="AE232" i="58"/>
  <c r="AF232" i="58"/>
  <c r="AD232" i="58"/>
  <c r="AC232" i="58"/>
  <c r="AF226" i="58"/>
  <c r="AC226" i="58"/>
  <c r="AG226" i="58"/>
  <c r="AE226" i="58"/>
  <c r="AD226" i="58"/>
  <c r="AC145" i="58"/>
  <c r="AF145" i="58"/>
  <c r="AE145" i="58"/>
  <c r="AG145" i="58"/>
  <c r="AD145" i="58"/>
  <c r="AG233" i="58"/>
  <c r="AE233" i="58"/>
  <c r="AC233" i="58"/>
  <c r="AD233" i="58"/>
  <c r="AF233" i="58"/>
  <c r="AG138" i="58"/>
  <c r="AD138" i="58"/>
  <c r="AC138" i="58"/>
  <c r="AE138" i="58"/>
  <c r="AF138" i="58"/>
  <c r="AC236" i="58"/>
  <c r="AF236" i="58"/>
  <c r="AD236" i="58"/>
  <c r="AE236" i="58"/>
  <c r="AG236" i="58"/>
  <c r="AF245" i="58"/>
  <c r="AD245" i="58"/>
  <c r="AC245" i="58"/>
  <c r="AG245" i="58"/>
  <c r="AE245" i="58"/>
  <c r="AD244" i="58"/>
  <c r="AG244" i="58"/>
  <c r="AC244" i="58"/>
  <c r="AF244" i="58"/>
  <c r="AE244" i="58"/>
  <c r="AG234" i="58"/>
  <c r="AE234" i="58"/>
  <c r="AD234" i="58"/>
  <c r="AC234" i="58"/>
  <c r="AF234" i="58"/>
  <c r="AG148" i="58"/>
  <c r="AD148" i="58"/>
  <c r="AF148" i="58"/>
  <c r="AC148" i="58"/>
  <c r="AE148" i="58"/>
  <c r="Y133" i="58"/>
  <c r="X133" i="58"/>
  <c r="Z133" i="58"/>
  <c r="X244" i="58"/>
  <c r="Z244" i="58"/>
  <c r="AI244" i="58"/>
  <c r="Y244" i="58"/>
  <c r="Z126" i="58"/>
  <c r="Y126" i="58"/>
  <c r="X126" i="58"/>
  <c r="Z225" i="58"/>
  <c r="X225" i="58"/>
  <c r="AI225" i="58"/>
  <c r="Y225" i="58"/>
  <c r="X145" i="58"/>
  <c r="Y145" i="58"/>
  <c r="Z145" i="58"/>
  <c r="AH233" i="58"/>
  <c r="Z233" i="58"/>
  <c r="Y233" i="58"/>
  <c r="X233" i="58"/>
  <c r="AI233" i="58"/>
  <c r="Y228" i="58"/>
  <c r="AI228" i="58"/>
  <c r="Z228" i="58"/>
  <c r="X228" i="58"/>
  <c r="AI234" i="58"/>
  <c r="AH234" i="58"/>
  <c r="Y234" i="58"/>
  <c r="Z234" i="58"/>
  <c r="X234" i="58"/>
  <c r="X242" i="58"/>
  <c r="Z242" i="58"/>
  <c r="Y242" i="58"/>
  <c r="X148" i="58"/>
  <c r="Y148" i="58"/>
  <c r="Z148" i="58"/>
  <c r="X246" i="58"/>
  <c r="Y246" i="58"/>
  <c r="Z246" i="58"/>
  <c r="Y131" i="58"/>
  <c r="Z131" i="58"/>
  <c r="X131" i="58"/>
  <c r="X226" i="58"/>
  <c r="Y226" i="58"/>
  <c r="AH226" i="58"/>
  <c r="Z226" i="58"/>
  <c r="AI236" i="58"/>
  <c r="X236" i="58"/>
  <c r="Z236" i="58"/>
  <c r="Y236" i="58"/>
  <c r="Y138" i="58"/>
  <c r="Z138" i="58"/>
  <c r="X138" i="58"/>
  <c r="Z152" i="58"/>
  <c r="X152" i="58"/>
  <c r="Y152" i="58"/>
  <c r="Z232" i="58"/>
  <c r="AH232" i="58"/>
  <c r="Y232" i="58"/>
  <c r="X232" i="58"/>
  <c r="AI232" i="58"/>
  <c r="X144" i="58"/>
  <c r="Y144" i="58"/>
  <c r="Z144" i="58"/>
  <c r="Z247" i="58"/>
  <c r="Y247" i="58"/>
  <c r="X247" i="58"/>
  <c r="Y245" i="58"/>
  <c r="Z245" i="58"/>
  <c r="X245" i="58"/>
  <c r="X125" i="58" l="1"/>
  <c r="J125" i="58"/>
  <c r="Y147" i="58"/>
  <c r="T125" i="58"/>
  <c r="AH125" i="58" s="1"/>
  <c r="AF125" i="58"/>
  <c r="AC125" i="58"/>
  <c r="U125" i="58"/>
  <c r="AI125" i="58" s="1"/>
  <c r="Y125" i="58"/>
  <c r="W125" i="58"/>
  <c r="AE125" i="58"/>
  <c r="AG125" i="58"/>
  <c r="V125" i="58"/>
  <c r="Y227" i="58"/>
  <c r="AE134" i="58"/>
  <c r="AD125" i="58"/>
  <c r="X227" i="58"/>
  <c r="Z227" i="58"/>
  <c r="X264" i="58"/>
  <c r="AF227" i="58"/>
  <c r="AG227" i="58"/>
  <c r="X239" i="58"/>
  <c r="AI151" i="58"/>
  <c r="Z250" i="58"/>
  <c r="Y252" i="58"/>
  <c r="Y143" i="58"/>
  <c r="AC230" i="58"/>
  <c r="Z239" i="58"/>
  <c r="AD143" i="58"/>
  <c r="AC252" i="58"/>
  <c r="V227" i="58"/>
  <c r="Z252" i="58"/>
  <c r="AF252" i="58"/>
  <c r="AC147" i="58"/>
  <c r="Z264" i="58"/>
  <c r="X237" i="58"/>
  <c r="W230" i="58"/>
  <c r="V229" i="58"/>
  <c r="AH227" i="58"/>
  <c r="X128" i="58"/>
  <c r="X229" i="58"/>
  <c r="AC239" i="58"/>
  <c r="AG129" i="58"/>
  <c r="V147" i="58"/>
  <c r="V237" i="58"/>
  <c r="AI227" i="58"/>
  <c r="X137" i="58"/>
  <c r="X151" i="58"/>
  <c r="AH139" i="58"/>
  <c r="Y230" i="58"/>
  <c r="AE147" i="58"/>
  <c r="AD250" i="58"/>
  <c r="V137" i="58"/>
  <c r="AI239" i="58"/>
  <c r="AG239" i="58"/>
  <c r="W229" i="58"/>
  <c r="Z143" i="58"/>
  <c r="Z229" i="58"/>
  <c r="AC227" i="58"/>
  <c r="AE229" i="58"/>
  <c r="AE139" i="58"/>
  <c r="X143" i="58"/>
  <c r="AD132" i="58"/>
  <c r="AD227" i="58"/>
  <c r="AD229" i="58"/>
  <c r="AF139" i="58"/>
  <c r="AC143" i="58"/>
  <c r="W128" i="58"/>
  <c r="AC229" i="58"/>
  <c r="AE250" i="58"/>
  <c r="U137" i="58"/>
  <c r="AI137" i="58" s="1"/>
  <c r="AF127" i="58"/>
  <c r="AD139" i="58"/>
  <c r="AD151" i="58"/>
  <c r="U139" i="58"/>
  <c r="AI139" i="58" s="1"/>
  <c r="T237" i="58"/>
  <c r="W147" i="58"/>
  <c r="V143" i="58"/>
  <c r="AC139" i="58"/>
  <c r="W139" i="58"/>
  <c r="W227" i="58"/>
  <c r="W264" i="58"/>
  <c r="Y239" i="58"/>
  <c r="X139" i="58"/>
  <c r="AF229" i="58"/>
  <c r="AD239" i="58"/>
  <c r="AE143" i="58"/>
  <c r="AG151" i="58"/>
  <c r="AF237" i="58"/>
  <c r="V134" i="58"/>
  <c r="V239" i="58"/>
  <c r="Z139" i="58"/>
  <c r="AD127" i="58"/>
  <c r="AE239" i="58"/>
  <c r="AG143" i="58"/>
  <c r="V139" i="58"/>
  <c r="T227" i="58"/>
  <c r="U143" i="58"/>
  <c r="AI143" i="58" s="1"/>
  <c r="T143" i="58"/>
  <c r="AH143" i="58" s="1"/>
  <c r="U239" i="58"/>
  <c r="Z132" i="58"/>
  <c r="Y127" i="58"/>
  <c r="AM127" i="58" s="1"/>
  <c r="Y139" i="58"/>
  <c r="Z230" i="58"/>
  <c r="AF132" i="58"/>
  <c r="AE227" i="58"/>
  <c r="AG264" i="58"/>
  <c r="AF143" i="58"/>
  <c r="AC250" i="58"/>
  <c r="Y229" i="58"/>
  <c r="X147" i="58"/>
  <c r="Y134" i="58"/>
  <c r="AG230" i="58"/>
  <c r="AF239" i="58"/>
  <c r="AF137" i="58"/>
  <c r="AG139" i="58"/>
  <c r="AD147" i="58"/>
  <c r="V128" i="58"/>
  <c r="W237" i="58"/>
  <c r="W250" i="58"/>
  <c r="U151" i="58"/>
  <c r="V127" i="58"/>
  <c r="Z137" i="58"/>
  <c r="AH151" i="58"/>
  <c r="Z127" i="58"/>
  <c r="X252" i="58"/>
  <c r="X134" i="58"/>
  <c r="Y237" i="58"/>
  <c r="AD230" i="58"/>
  <c r="AD252" i="58"/>
  <c r="AE264" i="58"/>
  <c r="AE137" i="58"/>
  <c r="AF250" i="58"/>
  <c r="T147" i="58"/>
  <c r="AH147" i="58" s="1"/>
  <c r="T151" i="58"/>
  <c r="V230" i="58"/>
  <c r="W137" i="58"/>
  <c r="W127" i="58"/>
  <c r="AK127" i="58" s="1"/>
  <c r="U127" i="58"/>
  <c r="AI127" i="58" s="1"/>
  <c r="Y137" i="58"/>
  <c r="Y151" i="58"/>
  <c r="X127" i="58"/>
  <c r="Z134" i="58"/>
  <c r="AI237" i="58"/>
  <c r="AF230" i="58"/>
  <c r="AE252" i="58"/>
  <c r="AD264" i="58"/>
  <c r="AG134" i="58"/>
  <c r="AC137" i="58"/>
  <c r="AG237" i="58"/>
  <c r="U250" i="58"/>
  <c r="AI250" i="58" s="1"/>
  <c r="W151" i="58"/>
  <c r="V252" i="58"/>
  <c r="Z151" i="58"/>
  <c r="Z237" i="58"/>
  <c r="AG252" i="58"/>
  <c r="AF264" i="58"/>
  <c r="AG127" i="58"/>
  <c r="AN127" i="58" s="1"/>
  <c r="AF134" i="58"/>
  <c r="AD137" i="58"/>
  <c r="AE151" i="58"/>
  <c r="AE237" i="58"/>
  <c r="W134" i="58"/>
  <c r="T250" i="58"/>
  <c r="AH250" i="58" s="1"/>
  <c r="V151" i="58"/>
  <c r="Z142" i="58"/>
  <c r="Y250" i="58"/>
  <c r="AH237" i="58"/>
  <c r="AC264" i="58"/>
  <c r="AC127" i="58"/>
  <c r="AJ127" i="58" s="1"/>
  <c r="I127" i="58" s="1"/>
  <c r="J127" i="58" s="1"/>
  <c r="K127" i="58" s="1"/>
  <c r="AC134" i="58"/>
  <c r="AG137" i="58"/>
  <c r="AF147" i="58"/>
  <c r="AF151" i="58"/>
  <c r="AD237" i="58"/>
  <c r="U134" i="58"/>
  <c r="AI134" i="58" s="1"/>
  <c r="V250" i="58"/>
  <c r="Z147" i="58"/>
  <c r="X250" i="58"/>
  <c r="Y264" i="58"/>
  <c r="X230" i="58"/>
  <c r="AE127" i="58"/>
  <c r="AL127" i="58" s="1"/>
  <c r="AD134" i="58"/>
  <c r="AG147" i="58"/>
  <c r="AC237" i="58"/>
  <c r="Y128" i="58"/>
  <c r="Y132" i="58"/>
  <c r="X135" i="58"/>
  <c r="AE132" i="58"/>
  <c r="AF129" i="58"/>
  <c r="AC135" i="58"/>
  <c r="AC128" i="58"/>
  <c r="T135" i="58"/>
  <c r="AH135" i="58" s="1"/>
  <c r="W132" i="58"/>
  <c r="W129" i="58"/>
  <c r="Y135" i="58"/>
  <c r="AG132" i="58"/>
  <c r="AD129" i="58"/>
  <c r="AD135" i="58"/>
  <c r="AF128" i="58"/>
  <c r="U135" i="58"/>
  <c r="AI135" i="58" s="1"/>
  <c r="U132" i="58"/>
  <c r="AI132" i="58" s="1"/>
  <c r="T129" i="58"/>
  <c r="AH129" i="58" s="1"/>
  <c r="X132" i="58"/>
  <c r="V129" i="58"/>
  <c r="Z129" i="58"/>
  <c r="Z135" i="58"/>
  <c r="AE129" i="58"/>
  <c r="AF135" i="58"/>
  <c r="AD128" i="58"/>
  <c r="V135" i="58"/>
  <c r="U129" i="58"/>
  <c r="AI129" i="58" s="1"/>
  <c r="Z128" i="58"/>
  <c r="AG128" i="58"/>
  <c r="T128" i="58"/>
  <c r="AH128" i="58" s="1"/>
  <c r="X129" i="58"/>
  <c r="AG135" i="58"/>
  <c r="AE128" i="58"/>
  <c r="W135" i="58"/>
  <c r="AC129" i="58"/>
  <c r="AF142" i="58"/>
  <c r="V132" i="58"/>
  <c r="V264" i="58"/>
  <c r="T229" i="58"/>
  <c r="AH229" i="58" s="1"/>
  <c r="I229" i="58" s="1"/>
  <c r="J229" i="58" s="1"/>
  <c r="K229" i="58" s="1"/>
  <c r="T230" i="58"/>
  <c r="AH230" i="58" s="1"/>
  <c r="T239" i="58"/>
  <c r="AH239" i="58" s="1"/>
  <c r="U229" i="58"/>
  <c r="AI229" i="58" s="1"/>
  <c r="U230" i="58"/>
  <c r="AI230" i="58" s="1"/>
  <c r="T132" i="58"/>
  <c r="AH132" i="58" s="1"/>
  <c r="I132" i="58" s="1"/>
  <c r="J132" i="58" s="1"/>
  <c r="K132" i="58" s="1"/>
  <c r="U264" i="58"/>
  <c r="AI264" i="58" s="1"/>
  <c r="I264" i="58" s="1"/>
  <c r="J264" i="58" s="1"/>
  <c r="K264" i="58" s="1"/>
  <c r="U252" i="58"/>
  <c r="AI252" i="58" s="1"/>
  <c r="T252" i="58"/>
  <c r="AH252" i="58" s="1"/>
  <c r="I252" i="58" s="1"/>
  <c r="J252" i="58" s="1"/>
  <c r="K252" i="58" s="1"/>
  <c r="U142" i="58"/>
  <c r="AI142" i="58" s="1"/>
  <c r="AC142" i="58"/>
  <c r="T142" i="58"/>
  <c r="AH142" i="58" s="1"/>
  <c r="I142" i="58" s="1"/>
  <c r="J142" i="58" s="1"/>
  <c r="K142" i="58" s="1"/>
  <c r="X142" i="58"/>
  <c r="AG142" i="58"/>
  <c r="Y142" i="58"/>
  <c r="AD142" i="58"/>
  <c r="AK142" i="58" s="1"/>
  <c r="V142" i="58"/>
  <c r="AE142" i="58"/>
  <c r="Z125" i="58"/>
  <c r="AN125" i="58" s="1"/>
  <c r="AF256" i="58"/>
  <c r="AC256" i="58"/>
  <c r="AG235" i="58"/>
  <c r="AC235" i="58"/>
  <c r="AF235" i="58"/>
  <c r="AE235" i="58"/>
  <c r="Y240" i="58"/>
  <c r="Z240" i="58"/>
  <c r="Y248" i="58"/>
  <c r="W248" i="58"/>
  <c r="U248" i="58"/>
  <c r="AI248" i="58" s="1"/>
  <c r="V248" i="58"/>
  <c r="T248" i="58"/>
  <c r="AH248" i="58" s="1"/>
  <c r="W141" i="58"/>
  <c r="T141" i="58"/>
  <c r="AH141" i="58" s="1"/>
  <c r="V141" i="58"/>
  <c r="U141" i="58"/>
  <c r="AI141" i="58" s="1"/>
  <c r="AE241" i="58"/>
  <c r="U241" i="58"/>
  <c r="T241" i="58"/>
  <c r="AH241" i="58" s="1"/>
  <c r="W241" i="58"/>
  <c r="V241" i="58"/>
  <c r="U235" i="58"/>
  <c r="AI235" i="58" s="1"/>
  <c r="I235" i="58" s="1"/>
  <c r="J235" i="58" s="1"/>
  <c r="K235" i="58" s="1"/>
  <c r="W235" i="58"/>
  <c r="V235" i="58"/>
  <c r="T235" i="58"/>
  <c r="AG150" i="58"/>
  <c r="W150" i="58"/>
  <c r="T150" i="58"/>
  <c r="AH150" i="58" s="1"/>
  <c r="U150" i="58"/>
  <c r="AI150" i="58" s="1"/>
  <c r="V150" i="58"/>
  <c r="Z243" i="58"/>
  <c r="U243" i="58"/>
  <c r="AI243" i="58" s="1"/>
  <c r="T243" i="58"/>
  <c r="AH243" i="58" s="1"/>
  <c r="V243" i="58"/>
  <c r="W243" i="58"/>
  <c r="Z156" i="58"/>
  <c r="T156" i="58"/>
  <c r="AH156" i="58" s="1"/>
  <c r="V156" i="58"/>
  <c r="W156" i="58"/>
  <c r="U156" i="58"/>
  <c r="AI156" i="58" s="1"/>
  <c r="AE150" i="58"/>
  <c r="X231" i="58"/>
  <c r="V231" i="58"/>
  <c r="W231" i="58"/>
  <c r="U231" i="58"/>
  <c r="T231" i="58"/>
  <c r="AH231" i="58" s="1"/>
  <c r="AF164" i="58"/>
  <c r="W164" i="58"/>
  <c r="V164" i="58"/>
  <c r="U164" i="58"/>
  <c r="AI164" i="58" s="1"/>
  <c r="T164" i="58"/>
  <c r="AH164" i="58" s="1"/>
  <c r="AC155" i="58"/>
  <c r="V155" i="58"/>
  <c r="W155" i="58"/>
  <c r="T155" i="58"/>
  <c r="AH155" i="58" s="1"/>
  <c r="U155" i="58"/>
  <c r="AI155" i="58" s="1"/>
  <c r="Z238" i="58"/>
  <c r="T238" i="58"/>
  <c r="AH238" i="58" s="1"/>
  <c r="W238" i="58"/>
  <c r="U238" i="58"/>
  <c r="AI238" i="58" s="1"/>
  <c r="V238" i="58"/>
  <c r="X248" i="58"/>
  <c r="T255" i="58"/>
  <c r="U255" i="58"/>
  <c r="V255" i="58"/>
  <c r="W255" i="58"/>
  <c r="AC140" i="58"/>
  <c r="W140" i="58"/>
  <c r="U140" i="58"/>
  <c r="AI140" i="58" s="1"/>
  <c r="V140" i="58"/>
  <c r="T140" i="58"/>
  <c r="AH140" i="58" s="1"/>
  <c r="AG136" i="58"/>
  <c r="W136" i="58"/>
  <c r="V136" i="58"/>
  <c r="T136" i="58"/>
  <c r="AH136" i="58" s="1"/>
  <c r="U136" i="58"/>
  <c r="AI136" i="58" s="1"/>
  <c r="AF153" i="58"/>
  <c r="V153" i="58"/>
  <c r="T153" i="58"/>
  <c r="AH153" i="58" s="1"/>
  <c r="W153" i="58"/>
  <c r="U153" i="58"/>
  <c r="AI153" i="58" s="1"/>
  <c r="AF149" i="58"/>
  <c r="T149" i="58"/>
  <c r="AH149" i="58" s="1"/>
  <c r="U149" i="58"/>
  <c r="AI149" i="58" s="1"/>
  <c r="W149" i="58"/>
  <c r="V149" i="58"/>
  <c r="AC154" i="58"/>
  <c r="T154" i="58"/>
  <c r="AH154" i="58" s="1"/>
  <c r="V154" i="58"/>
  <c r="W154" i="58"/>
  <c r="U154" i="58"/>
  <c r="AG253" i="58"/>
  <c r="W253" i="58"/>
  <c r="T253" i="58"/>
  <c r="AH253" i="58" s="1"/>
  <c r="U253" i="58"/>
  <c r="AI253" i="58" s="1"/>
  <c r="V253" i="58"/>
  <c r="X235" i="58"/>
  <c r="AL235" i="58" s="1"/>
  <c r="T254" i="58"/>
  <c r="AH254" i="58" s="1"/>
  <c r="U254" i="58"/>
  <c r="AI254" i="58" s="1"/>
  <c r="W254" i="58"/>
  <c r="V254" i="58"/>
  <c r="AD251" i="58"/>
  <c r="W251" i="58"/>
  <c r="T251" i="58"/>
  <c r="AH251" i="58" s="1"/>
  <c r="V251" i="58"/>
  <c r="U251" i="58"/>
  <c r="AI251" i="58" s="1"/>
  <c r="AG130" i="58"/>
  <c r="U130" i="58"/>
  <c r="AI130" i="58" s="1"/>
  <c r="W130" i="58"/>
  <c r="V130" i="58"/>
  <c r="T130" i="58"/>
  <c r="AH130" i="58" s="1"/>
  <c r="X251" i="58"/>
  <c r="AH235" i="58"/>
  <c r="AD256" i="58"/>
  <c r="U256" i="58"/>
  <c r="AI256" i="58" s="1"/>
  <c r="T256" i="58"/>
  <c r="AH256" i="58" s="1"/>
  <c r="V256" i="58"/>
  <c r="AJ256" i="58" s="1"/>
  <c r="W256" i="58"/>
  <c r="T146" i="58"/>
  <c r="AH146" i="58" s="1"/>
  <c r="W146" i="58"/>
  <c r="V146" i="58"/>
  <c r="U146" i="58"/>
  <c r="AI146" i="58" s="1"/>
  <c r="Y235" i="58"/>
  <c r="AM235" i="58" s="1"/>
  <c r="Z235" i="58"/>
  <c r="W249" i="58"/>
  <c r="V249" i="58"/>
  <c r="T249" i="58"/>
  <c r="AH249" i="58" s="1"/>
  <c r="U249" i="58"/>
  <c r="AI249" i="58" s="1"/>
  <c r="T240" i="58"/>
  <c r="W240" i="58"/>
  <c r="U240" i="58"/>
  <c r="AI240" i="58" s="1"/>
  <c r="V240" i="58"/>
  <c r="AH240" i="58"/>
  <c r="AG248" i="58"/>
  <c r="AG240" i="58"/>
  <c r="AN240" i="58" s="1"/>
  <c r="AC254" i="58"/>
  <c r="Z251" i="58"/>
  <c r="Y251" i="58"/>
  <c r="X150" i="58"/>
  <c r="AL150" i="58" s="1"/>
  <c r="AD243" i="58"/>
  <c r="X243" i="58"/>
  <c r="AF248" i="58"/>
  <c r="Z248" i="58"/>
  <c r="Z254" i="58"/>
  <c r="AC248" i="58"/>
  <c r="AE248" i="58"/>
  <c r="AD248" i="58"/>
  <c r="Y254" i="58"/>
  <c r="AG243" i="58"/>
  <c r="X154" i="58"/>
  <c r="AJ242" i="58"/>
  <c r="I242" i="58" s="1"/>
  <c r="J242" i="58" s="1"/>
  <c r="K242" i="58" s="1"/>
  <c r="AE243" i="58"/>
  <c r="AK242" i="58"/>
  <c r="AI154" i="58"/>
  <c r="AF243" i="58"/>
  <c r="AC243" i="58"/>
  <c r="Z153" i="58"/>
  <c r="X253" i="58"/>
  <c r="Z253" i="58"/>
  <c r="AF146" i="58"/>
  <c r="AD254" i="58"/>
  <c r="AC146" i="58"/>
  <c r="AE146" i="58"/>
  <c r="AD240" i="58"/>
  <c r="AF240" i="58"/>
  <c r="AM240" i="58" s="1"/>
  <c r="AE240" i="58"/>
  <c r="AL240" i="58" s="1"/>
  <c r="AD253" i="58"/>
  <c r="AD154" i="58"/>
  <c r="AC240" i="58"/>
  <c r="AF253" i="58"/>
  <c r="Y150" i="58"/>
  <c r="AC251" i="58"/>
  <c r="AG254" i="58"/>
  <c r="AE251" i="58"/>
  <c r="AF251" i="58"/>
  <c r="AF254" i="58"/>
  <c r="AG251" i="58"/>
  <c r="AF154" i="58"/>
  <c r="AE254" i="58"/>
  <c r="X254" i="58"/>
  <c r="Z150" i="58"/>
  <c r="Y243" i="58"/>
  <c r="AF150" i="58"/>
  <c r="AD150" i="58"/>
  <c r="AE256" i="58"/>
  <c r="AK226" i="58"/>
  <c r="AC150" i="58"/>
  <c r="AE149" i="58"/>
  <c r="AG238" i="58"/>
  <c r="AF140" i="58"/>
  <c r="AC149" i="58"/>
  <c r="AG149" i="58"/>
  <c r="AF255" i="58"/>
  <c r="AD255" i="58"/>
  <c r="Z146" i="58"/>
  <c r="Y256" i="58"/>
  <c r="AM256" i="58" s="1"/>
  <c r="Y140" i="58"/>
  <c r="Z140" i="58"/>
  <c r="X256" i="58"/>
  <c r="AD249" i="58"/>
  <c r="X140" i="58"/>
  <c r="Z256" i="58"/>
  <c r="AN256" i="58" s="1"/>
  <c r="AE249" i="58"/>
  <c r="Z154" i="58"/>
  <c r="AC255" i="58"/>
  <c r="X146" i="58"/>
  <c r="Y154" i="58"/>
  <c r="AG255" i="58"/>
  <c r="AE255" i="58"/>
  <c r="AF155" i="58"/>
  <c r="AD155" i="58"/>
  <c r="AK237" i="58"/>
  <c r="AG155" i="58"/>
  <c r="AE155" i="58"/>
  <c r="AK229" i="58"/>
  <c r="AM132" i="58"/>
  <c r="Y253" i="58"/>
  <c r="AE154" i="58"/>
  <c r="AG154" i="58"/>
  <c r="AG146" i="58"/>
  <c r="AH255" i="58"/>
  <c r="Z255" i="58"/>
  <c r="X153" i="58"/>
  <c r="Y255" i="58"/>
  <c r="AK139" i="58"/>
  <c r="AD146" i="58"/>
  <c r="Z149" i="58"/>
  <c r="AE238" i="58"/>
  <c r="X164" i="58"/>
  <c r="AC253" i="58"/>
  <c r="X149" i="58"/>
  <c r="AE253" i="58"/>
  <c r="AC238" i="58"/>
  <c r="AF238" i="58"/>
  <c r="Y153" i="58"/>
  <c r="Y149" i="58"/>
  <c r="AE140" i="58"/>
  <c r="AJ226" i="58"/>
  <c r="I226" i="58" s="1"/>
  <c r="J226" i="58" s="1"/>
  <c r="K226" i="58" s="1"/>
  <c r="AG140" i="58"/>
  <c r="AE153" i="58"/>
  <c r="Y238" i="58"/>
  <c r="X238" i="58"/>
  <c r="AC153" i="58"/>
  <c r="AI255" i="58"/>
  <c r="X155" i="58"/>
  <c r="AD153" i="58"/>
  <c r="AK246" i="58"/>
  <c r="X255" i="58"/>
  <c r="AG153" i="58"/>
  <c r="AD238" i="58"/>
  <c r="Y141" i="58"/>
  <c r="X141" i="58"/>
  <c r="Y130" i="58"/>
  <c r="AD140" i="58"/>
  <c r="Y155" i="58"/>
  <c r="AM242" i="58"/>
  <c r="Z155" i="58"/>
  <c r="X130" i="58"/>
  <c r="AM237" i="58"/>
  <c r="AE231" i="58"/>
  <c r="AF231" i="58"/>
  <c r="AG231" i="58"/>
  <c r="AD231" i="58"/>
  <c r="Z249" i="58"/>
  <c r="AG141" i="58"/>
  <c r="AD164" i="58"/>
  <c r="Z130" i="58"/>
  <c r="AK244" i="58"/>
  <c r="AE164" i="58"/>
  <c r="AG164" i="58"/>
  <c r="AC231" i="58"/>
  <c r="Y164" i="58"/>
  <c r="Z231" i="58"/>
  <c r="AC164" i="58"/>
  <c r="Z164" i="58"/>
  <c r="AG241" i="58"/>
  <c r="Y231" i="58"/>
  <c r="AL230" i="58"/>
  <c r="AJ139" i="58"/>
  <c r="I139" i="58" s="1"/>
  <c r="J139" i="58" s="1"/>
  <c r="K139" i="58" s="1"/>
  <c r="AG249" i="58"/>
  <c r="Y146" i="58"/>
  <c r="AI231" i="58"/>
  <c r="AN230" i="58"/>
  <c r="AD149" i="58"/>
  <c r="AF249" i="58"/>
  <c r="AE141" i="58"/>
  <c r="AK230" i="58"/>
  <c r="AC249" i="58"/>
  <c r="Z136" i="58"/>
  <c r="AD141" i="58"/>
  <c r="X156" i="58"/>
  <c r="AC156" i="58"/>
  <c r="AF141" i="58"/>
  <c r="AE156" i="58"/>
  <c r="AM229" i="58"/>
  <c r="X249" i="58"/>
  <c r="AF156" i="58"/>
  <c r="AD156" i="58"/>
  <c r="Y136" i="58"/>
  <c r="Z241" i="58"/>
  <c r="AG156" i="58"/>
  <c r="AI241" i="58"/>
  <c r="X241" i="58"/>
  <c r="Y156" i="58"/>
  <c r="AJ227" i="58"/>
  <c r="AC141" i="58"/>
  <c r="Y241" i="58"/>
  <c r="AD241" i="58"/>
  <c r="Z141" i="58"/>
  <c r="AM126" i="58"/>
  <c r="AC241" i="58"/>
  <c r="AF241" i="58"/>
  <c r="AN252" i="58"/>
  <c r="AL252" i="58"/>
  <c r="AN142" i="58"/>
  <c r="AD130" i="58"/>
  <c r="AN143" i="58"/>
  <c r="AM133" i="58"/>
  <c r="AC130" i="58"/>
  <c r="AL239" i="58"/>
  <c r="AM148" i="58"/>
  <c r="I148" i="58" s="1"/>
  <c r="J148" i="58" s="1"/>
  <c r="K148" i="58" s="1"/>
  <c r="AL133" i="58"/>
  <c r="AF130" i="58"/>
  <c r="AK264" i="58"/>
  <c r="AK232" i="58"/>
  <c r="AE130" i="58"/>
  <c r="AC136" i="58"/>
  <c r="AK143" i="58"/>
  <c r="AJ264" i="58"/>
  <c r="AE136" i="58"/>
  <c r="AN133" i="58"/>
  <c r="AJ128" i="58"/>
  <c r="I128" i="58" s="1"/>
  <c r="J128" i="58" s="1"/>
  <c r="K128" i="58" s="1"/>
  <c r="Y249" i="58"/>
  <c r="AM244" i="58"/>
  <c r="AF136" i="58"/>
  <c r="AL126" i="58"/>
  <c r="X136" i="58"/>
  <c r="AM250" i="58"/>
  <c r="AJ244" i="58"/>
  <c r="I244" i="58" s="1"/>
  <c r="J244" i="58" s="1"/>
  <c r="K244" i="58" s="1"/>
  <c r="AL229" i="58"/>
  <c r="AD136" i="58"/>
  <c r="AK126" i="58"/>
  <c r="AM226" i="58"/>
  <c r="AL135" i="58"/>
  <c r="AN244" i="58"/>
  <c r="AJ229" i="58"/>
  <c r="AM145" i="58"/>
  <c r="AJ133" i="58"/>
  <c r="I133" i="58" s="1"/>
  <c r="J133" i="58" s="1"/>
  <c r="K133" i="58" s="1"/>
  <c r="AL228" i="58"/>
  <c r="AJ225" i="58"/>
  <c r="I225" i="58" s="1"/>
  <c r="J225" i="58" s="1"/>
  <c r="K225" i="58" s="1"/>
  <c r="AK228" i="58"/>
  <c r="AL225" i="58"/>
  <c r="AM228" i="58"/>
  <c r="AN129" i="58"/>
  <c r="AJ235" i="58"/>
  <c r="AL145" i="58"/>
  <c r="AN225" i="58"/>
  <c r="AL247" i="58"/>
  <c r="AM247" i="58"/>
  <c r="AM245" i="58"/>
  <c r="AJ228" i="58"/>
  <c r="I228" i="58" s="1"/>
  <c r="J228" i="58" s="1"/>
  <c r="K228" i="58" s="1"/>
  <c r="AJ134" i="58"/>
  <c r="I134" i="58" s="1"/>
  <c r="J134" i="58" s="1"/>
  <c r="K134" i="58" s="1"/>
  <c r="AM129" i="58"/>
  <c r="AN134" i="58"/>
  <c r="AM227" i="58"/>
  <c r="I227" i="58" s="1"/>
  <c r="J227" i="58" s="1"/>
  <c r="K227" i="58" s="1"/>
  <c r="AK129" i="58"/>
  <c r="AK235" i="58"/>
  <c r="AN227" i="58"/>
  <c r="AJ152" i="58"/>
  <c r="I152" i="58" s="1"/>
  <c r="J152" i="58" s="1"/>
  <c r="K152" i="58" s="1"/>
  <c r="AL144" i="58"/>
  <c r="AJ144" i="58"/>
  <c r="I144" i="58" s="1"/>
  <c r="J144" i="58" s="1"/>
  <c r="K144" i="58" s="1"/>
  <c r="AK227" i="58"/>
  <c r="AK151" i="58"/>
  <c r="AN151" i="58"/>
  <c r="AL264" i="58"/>
  <c r="AK137" i="58"/>
  <c r="AJ131" i="58"/>
  <c r="I131" i="58" s="1"/>
  <c r="J131" i="58" s="1"/>
  <c r="K131" i="58" s="1"/>
  <c r="AM137" i="58"/>
  <c r="AN237" i="58"/>
  <c r="AL244" i="58"/>
  <c r="AL143" i="58"/>
  <c r="AJ137" i="58"/>
  <c r="AN264" i="58"/>
  <c r="AN144" i="58"/>
  <c r="AJ237" i="58"/>
  <c r="I237" i="58" s="1"/>
  <c r="J237" i="58" s="1"/>
  <c r="K237" i="58" s="1"/>
  <c r="AL125" i="58"/>
  <c r="AN132" i="58"/>
  <c r="AK133" i="58"/>
  <c r="AM138" i="58"/>
  <c r="AM134" i="58"/>
  <c r="AM152" i="58"/>
  <c r="AN250" i="58"/>
  <c r="AJ246" i="58"/>
  <c r="I246" i="58" s="1"/>
  <c r="J246" i="58" s="1"/>
  <c r="K246" i="58" s="1"/>
  <c r="AL138" i="58"/>
  <c r="AL250" i="58"/>
  <c r="AN246" i="58"/>
  <c r="AJ126" i="58"/>
  <c r="AK247" i="58"/>
  <c r="AL151" i="58"/>
  <c r="AK250" i="58"/>
  <c r="AL245" i="58"/>
  <c r="AK138" i="58"/>
  <c r="AM151" i="58"/>
  <c r="AM246" i="58"/>
  <c r="AL132" i="58"/>
  <c r="AM142" i="58"/>
  <c r="AL232" i="58"/>
  <c r="AN245" i="58"/>
  <c r="AN242" i="58"/>
  <c r="AM135" i="58"/>
  <c r="AJ129" i="58"/>
  <c r="I129" i="58" s="1"/>
  <c r="J129" i="58" s="1"/>
  <c r="K129" i="58" s="1"/>
  <c r="AN234" i="58"/>
  <c r="AN126" i="58"/>
  <c r="AK148" i="58"/>
  <c r="AL242" i="58"/>
  <c r="AN226" i="58"/>
  <c r="AL226" i="58"/>
  <c r="AL148" i="58"/>
  <c r="AN148" i="58"/>
  <c r="AK233" i="58"/>
  <c r="AL139" i="58"/>
  <c r="AN228" i="58"/>
  <c r="AK225" i="58"/>
  <c r="AL131" i="58"/>
  <c r="AL137" i="58"/>
  <c r="AJ143" i="58"/>
  <c r="I143" i="58" s="1"/>
  <c r="J143" i="58" s="1"/>
  <c r="K143" i="58" s="1"/>
  <c r="AK132" i="58"/>
  <c r="AN145" i="58"/>
  <c r="AM143" i="58"/>
  <c r="AK128" i="58"/>
  <c r="AJ138" i="58"/>
  <c r="I138" i="58" s="1"/>
  <c r="J138" i="58" s="1"/>
  <c r="K138" i="58" s="1"/>
  <c r="AL246" i="58"/>
  <c r="AJ148" i="58"/>
  <c r="AJ232" i="58"/>
  <c r="I232" i="58" s="1"/>
  <c r="J232" i="58" s="1"/>
  <c r="K232" i="58" s="1"/>
  <c r="AL128" i="58"/>
  <c r="AM252" i="58"/>
  <c r="AM233" i="58"/>
  <c r="AJ145" i="58"/>
  <c r="I145" i="58" s="1"/>
  <c r="J145" i="58" s="1"/>
  <c r="K145" i="58" s="1"/>
  <c r="AM232" i="58"/>
  <c r="AL142" i="58"/>
  <c r="AJ142" i="58"/>
  <c r="AM125" i="58"/>
  <c r="AJ233" i="58"/>
  <c r="I233" i="58" s="1"/>
  <c r="J233" i="58" s="1"/>
  <c r="K233" i="58" s="1"/>
  <c r="AL134" i="58"/>
  <c r="AJ247" i="58"/>
  <c r="I247" i="58" s="1"/>
  <c r="J247" i="58" s="1"/>
  <c r="K247" i="58" s="1"/>
  <c r="AM147" i="58"/>
  <c r="AK145" i="58"/>
  <c r="AK125" i="58"/>
  <c r="AL233" i="58"/>
  <c r="AK134" i="58"/>
  <c r="AN232" i="58"/>
  <c r="AK147" i="58"/>
  <c r="AM139" i="58"/>
  <c r="AM144" i="58"/>
  <c r="AN138" i="58"/>
  <c r="AM230" i="58"/>
  <c r="AK252" i="58"/>
  <c r="AN236" i="58"/>
  <c r="AN233" i="58"/>
  <c r="AN147" i="58"/>
  <c r="AN135" i="58"/>
  <c r="AJ151" i="58"/>
  <c r="I151" i="58" s="1"/>
  <c r="J151" i="58" s="1"/>
  <c r="K151" i="58" s="1"/>
  <c r="AM131" i="58"/>
  <c r="AJ230" i="58"/>
  <c r="I230" i="58" s="1"/>
  <c r="J230" i="58" s="1"/>
  <c r="K230" i="58" s="1"/>
  <c r="AM234" i="58"/>
  <c r="AL236" i="58"/>
  <c r="AN239" i="58"/>
  <c r="AL237" i="58"/>
  <c r="AK131" i="58"/>
  <c r="AJ234" i="58"/>
  <c r="I234" i="58" s="1"/>
  <c r="J234" i="58" s="1"/>
  <c r="K234" i="58" s="1"/>
  <c r="AM239" i="58"/>
  <c r="AJ147" i="58"/>
  <c r="I147" i="58" s="1"/>
  <c r="J147" i="58" s="1"/>
  <c r="K147" i="58" s="1"/>
  <c r="AN139" i="58"/>
  <c r="AM264" i="58"/>
  <c r="AM225" i="58"/>
  <c r="AK245" i="58"/>
  <c r="AJ252" i="58"/>
  <c r="AK234" i="58"/>
  <c r="AK236" i="58"/>
  <c r="AJ125" i="58"/>
  <c r="AN247" i="58"/>
  <c r="AL147" i="58"/>
  <c r="AJ250" i="58"/>
  <c r="I250" i="58" s="1"/>
  <c r="J250" i="58" s="1"/>
  <c r="K250" i="58" s="1"/>
  <c r="AN137" i="58"/>
  <c r="AL129" i="58"/>
  <c r="AM128" i="58"/>
  <c r="AJ132" i="58"/>
  <c r="AL234" i="58"/>
  <c r="AN235" i="58"/>
  <c r="AM236" i="58"/>
  <c r="AJ239" i="58"/>
  <c r="I239" i="58" s="1"/>
  <c r="J239" i="58" s="1"/>
  <c r="K239" i="58" s="1"/>
  <c r="AK152" i="58"/>
  <c r="AK144" i="58"/>
  <c r="AN229" i="58"/>
  <c r="AJ236" i="58"/>
  <c r="I236" i="58" s="1"/>
  <c r="J236" i="58" s="1"/>
  <c r="K236" i="58" s="1"/>
  <c r="AK239" i="58"/>
  <c r="AL152" i="58"/>
  <c r="AJ135" i="58"/>
  <c r="I135" i="58" s="1"/>
  <c r="J135" i="58" s="1"/>
  <c r="K135" i="58" s="1"/>
  <c r="AN128" i="58"/>
  <c r="AJ245" i="58"/>
  <c r="I245" i="58" s="1"/>
  <c r="J245" i="58" s="1"/>
  <c r="K245" i="58" s="1"/>
  <c r="AN131" i="58"/>
  <c r="AL227" i="58"/>
  <c r="AN152" i="58"/>
  <c r="AK135" i="58"/>
  <c r="I126" i="58" l="1"/>
  <c r="J126" i="58" s="1"/>
  <c r="K126" i="58" s="1"/>
  <c r="I249" i="58"/>
  <c r="J249" i="58" s="1"/>
  <c r="K249" i="58" s="1"/>
  <c r="I153" i="58"/>
  <c r="J153" i="58" s="1"/>
  <c r="K153" i="58" s="1"/>
  <c r="AK243" i="58"/>
  <c r="I137" i="58"/>
  <c r="J137" i="58" s="1"/>
  <c r="K137" i="58" s="1"/>
  <c r="AL243" i="58"/>
  <c r="AJ254" i="58"/>
  <c r="I254" i="58" s="1"/>
  <c r="J254" i="58" s="1"/>
  <c r="K254" i="58" s="1"/>
  <c r="AL231" i="58"/>
  <c r="I125" i="58"/>
  <c r="K125" i="58" s="1"/>
  <c r="AJ248" i="58"/>
  <c r="AL248" i="58"/>
  <c r="I248" i="58" s="1"/>
  <c r="J248" i="58" s="1"/>
  <c r="K248" i="58" s="1"/>
  <c r="AK256" i="58"/>
  <c r="I256" i="58" s="1"/>
  <c r="J256" i="58" s="1"/>
  <c r="K256" i="58" s="1"/>
  <c r="AK248" i="58"/>
  <c r="AN254" i="58"/>
  <c r="AM248" i="58"/>
  <c r="AJ154" i="58"/>
  <c r="AJ249" i="58"/>
  <c r="AJ140" i="58"/>
  <c r="I140" i="58" s="1"/>
  <c r="J140" i="58" s="1"/>
  <c r="K140" i="58" s="1"/>
  <c r="AN136" i="58"/>
  <c r="AJ141" i="58"/>
  <c r="I141" i="58" s="1"/>
  <c r="J141" i="58" s="1"/>
  <c r="K141" i="58" s="1"/>
  <c r="AN156" i="58"/>
  <c r="AN248" i="58"/>
  <c r="AN150" i="58"/>
  <c r="AK251" i="58"/>
  <c r="AJ155" i="58"/>
  <c r="AK255" i="58"/>
  <c r="AN130" i="58"/>
  <c r="AL251" i="58"/>
  <c r="AN243" i="58"/>
  <c r="AJ251" i="58"/>
  <c r="I251" i="58" s="1"/>
  <c r="J251" i="58" s="1"/>
  <c r="K251" i="58" s="1"/>
  <c r="AL241" i="58"/>
  <c r="AN238" i="58"/>
  <c r="AM149" i="58"/>
  <c r="AJ146" i="58"/>
  <c r="I146" i="58" s="1"/>
  <c r="J146" i="58" s="1"/>
  <c r="K146" i="58" s="1"/>
  <c r="AK240" i="58"/>
  <c r="AJ150" i="58"/>
  <c r="I150" i="58" s="1"/>
  <c r="J150" i="58" s="1"/>
  <c r="K150" i="58" s="1"/>
  <c r="AL146" i="58"/>
  <c r="AM153" i="58"/>
  <c r="S38" i="51"/>
  <c r="AJ240" i="58"/>
  <c r="I240" i="58" s="1"/>
  <c r="J240" i="58" s="1"/>
  <c r="K240" i="58" s="1"/>
  <c r="S54" i="51"/>
  <c r="AM164" i="58"/>
  <c r="AN253" i="58"/>
  <c r="S177" i="51"/>
  <c r="AM251" i="58"/>
  <c r="AN251" i="58"/>
  <c r="AJ241" i="58"/>
  <c r="I241" i="58" s="1"/>
  <c r="J241" i="58" s="1"/>
  <c r="K241" i="58" s="1"/>
  <c r="AM254" i="58"/>
  <c r="AJ243" i="58"/>
  <c r="AJ164" i="58"/>
  <c r="I164" i="58" s="1"/>
  <c r="J164" i="58" s="1"/>
  <c r="K164" i="58" s="1"/>
  <c r="AL154" i="58"/>
  <c r="AK253" i="58"/>
  <c r="AN153" i="58"/>
  <c r="AK153" i="58"/>
  <c r="AM243" i="58"/>
  <c r="AK241" i="58"/>
  <c r="AL253" i="58"/>
  <c r="AJ253" i="58"/>
  <c r="I253" i="58" s="1"/>
  <c r="J253" i="58" s="1"/>
  <c r="K253" i="58" s="1"/>
  <c r="AK154" i="58"/>
  <c r="I154" i="58" s="1"/>
  <c r="J154" i="58" s="1"/>
  <c r="K154" i="58" s="1"/>
  <c r="AM150" i="58"/>
  <c r="AM253" i="58"/>
  <c r="AK254" i="58"/>
  <c r="AK150" i="58"/>
  <c r="AM146" i="58"/>
  <c r="AN155" i="58"/>
  <c r="AN146" i="58"/>
  <c r="AL156" i="58"/>
  <c r="AJ149" i="58"/>
  <c r="I149" i="58" s="1"/>
  <c r="J149" i="58" s="1"/>
  <c r="K149" i="58" s="1"/>
  <c r="AM140" i="58"/>
  <c r="AK149" i="58"/>
  <c r="AJ255" i="58"/>
  <c r="I255" i="58" s="1"/>
  <c r="J255" i="58" s="1"/>
  <c r="K255" i="58" s="1"/>
  <c r="AM154" i="58"/>
  <c r="AK146" i="58"/>
  <c r="AL254" i="58"/>
  <c r="AN149" i="58"/>
  <c r="AM255" i="58"/>
  <c r="AJ153" i="58"/>
  <c r="AL153" i="58"/>
  <c r="AL155" i="58"/>
  <c r="AL149" i="58"/>
  <c r="AK140" i="58"/>
  <c r="AL136" i="58"/>
  <c r="AL256" i="58"/>
  <c r="AN255" i="58"/>
  <c r="AK238" i="58"/>
  <c r="AL141" i="58"/>
  <c r="AM238" i="58"/>
  <c r="AN154" i="58"/>
  <c r="AN140" i="58"/>
  <c r="AM241" i="58"/>
  <c r="AJ156" i="58"/>
  <c r="I156" i="58" s="1"/>
  <c r="J156" i="58" s="1"/>
  <c r="K156" i="58" s="1"/>
  <c r="AL140" i="58"/>
  <c r="AK249" i="58"/>
  <c r="AJ238" i="58"/>
  <c r="AM141" i="58"/>
  <c r="AL249" i="58"/>
  <c r="AL255" i="58"/>
  <c r="AK164" i="58"/>
  <c r="AK155" i="58"/>
  <c r="AM155" i="58"/>
  <c r="AJ130" i="58"/>
  <c r="I130" i="58" s="1"/>
  <c r="J130" i="58" s="1"/>
  <c r="K130" i="58" s="1"/>
  <c r="AM249" i="58"/>
  <c r="AL238" i="58"/>
  <c r="I238" i="58" s="1"/>
  <c r="J238" i="58" s="1"/>
  <c r="K238" i="58" s="1"/>
  <c r="AN141" i="58"/>
  <c r="AN249" i="58"/>
  <c r="AL164" i="58"/>
  <c r="AN164" i="58"/>
  <c r="AN241" i="58"/>
  <c r="AJ231" i="58"/>
  <c r="I231" i="58" s="1"/>
  <c r="J231" i="58" s="1"/>
  <c r="K231" i="58" s="1"/>
  <c r="AN231" i="58"/>
  <c r="AM231" i="58"/>
  <c r="AK156" i="58"/>
  <c r="AM130" i="58"/>
  <c r="AK141" i="58"/>
  <c r="AL130" i="58"/>
  <c r="AK231" i="58"/>
  <c r="AK130" i="58"/>
  <c r="AM156" i="58"/>
  <c r="AK136" i="58"/>
  <c r="AM136" i="58"/>
  <c r="AJ136" i="58"/>
  <c r="P244" i="58"/>
  <c r="R228" i="58"/>
  <c r="M242" i="58"/>
  <c r="O235" i="58"/>
  <c r="S166" i="51"/>
  <c r="M237" i="58"/>
  <c r="L236" i="58"/>
  <c r="S161" i="51"/>
  <c r="N152" i="58"/>
  <c r="P233" i="58"/>
  <c r="H105" i="58"/>
  <c r="I136" i="58" l="1"/>
  <c r="J136" i="58" s="1"/>
  <c r="K136" i="58" s="1"/>
  <c r="I155" i="58"/>
  <c r="J155" i="58" s="1"/>
  <c r="K155" i="58" s="1"/>
  <c r="I243" i="58"/>
  <c r="J243" i="58" s="1"/>
  <c r="K243" i="58" s="1"/>
  <c r="S37" i="51"/>
  <c r="P125" i="58"/>
  <c r="Q138" i="58"/>
  <c r="P246" i="58"/>
  <c r="O143" i="58"/>
  <c r="S61" i="51"/>
  <c r="R245" i="58"/>
  <c r="L144" i="58"/>
  <c r="O252" i="58"/>
  <c r="R135" i="58"/>
  <c r="S70" i="51"/>
  <c r="L147" i="58"/>
  <c r="R240" i="58"/>
  <c r="S186" i="51"/>
  <c r="O129" i="58"/>
  <c r="N229" i="58"/>
  <c r="M251" i="58"/>
  <c r="O134" i="58"/>
  <c r="R225" i="58"/>
  <c r="S185" i="51"/>
  <c r="S69" i="51"/>
  <c r="L133" i="58"/>
  <c r="O139" i="58"/>
  <c r="M227" i="58"/>
  <c r="Q250" i="58"/>
  <c r="O137" i="58"/>
  <c r="L127" i="58"/>
  <c r="P232" i="58"/>
  <c r="L128" i="58"/>
  <c r="N264" i="58"/>
  <c r="Q148" i="58"/>
  <c r="P226" i="58"/>
  <c r="S79" i="51"/>
  <c r="Q248" i="58"/>
  <c r="L226" i="58"/>
  <c r="L151" i="58"/>
  <c r="P132" i="58"/>
  <c r="R131" i="58"/>
  <c r="Q230" i="58"/>
  <c r="Q243" i="58"/>
  <c r="N150" i="58"/>
  <c r="M146" i="58"/>
  <c r="Q254" i="58"/>
  <c r="N226" i="58"/>
  <c r="Q238" i="58"/>
  <c r="O125" i="58"/>
  <c r="P228" i="58"/>
  <c r="L228" i="58"/>
  <c r="N228" i="58"/>
  <c r="Q228" i="58"/>
  <c r="N141" i="58"/>
  <c r="R125" i="58"/>
  <c r="O131" i="58"/>
  <c r="S180" i="51"/>
  <c r="R151" i="58"/>
  <c r="N143" i="58"/>
  <c r="S49" i="51"/>
  <c r="Q226" i="58"/>
  <c r="S66" i="51"/>
  <c r="O128" i="58"/>
  <c r="L126" i="58"/>
  <c r="S62" i="51"/>
  <c r="M129" i="58"/>
  <c r="Q126" i="58"/>
  <c r="N242" i="58"/>
  <c r="S176" i="51"/>
  <c r="R226" i="58"/>
  <c r="Q246" i="58"/>
  <c r="N246" i="58"/>
  <c r="O242" i="58"/>
  <c r="S153" i="51"/>
  <c r="O246" i="58"/>
  <c r="S55" i="51"/>
  <c r="P225" i="58"/>
  <c r="N148" i="58"/>
  <c r="R126" i="58"/>
  <c r="N151" i="58"/>
  <c r="M226" i="58"/>
  <c r="Q129" i="58"/>
  <c r="N252" i="58"/>
  <c r="N137" i="58"/>
  <c r="Q143" i="58"/>
  <c r="N147" i="58"/>
  <c r="M244" i="58"/>
  <c r="N129" i="58"/>
  <c r="M143" i="58"/>
  <c r="P147" i="58"/>
  <c r="O135" i="58"/>
  <c r="N250" i="58"/>
  <c r="R137" i="58"/>
  <c r="O264" i="58"/>
  <c r="O226" i="58"/>
  <c r="S167" i="51"/>
  <c r="M240" i="58"/>
  <c r="P240" i="58"/>
  <c r="L264" i="58"/>
  <c r="O232" i="58"/>
  <c r="O152" i="58"/>
  <c r="L232" i="58"/>
  <c r="L227" i="58"/>
  <c r="O251" i="58"/>
  <c r="Q232" i="58"/>
  <c r="P143" i="58"/>
  <c r="R227" i="58"/>
  <c r="O151" i="58"/>
  <c r="P135" i="58"/>
  <c r="O240" i="58"/>
  <c r="S159" i="51"/>
  <c r="M126" i="58"/>
  <c r="M232" i="58"/>
  <c r="Q227" i="58"/>
  <c r="M151" i="58"/>
  <c r="S178" i="51"/>
  <c r="M256" i="58"/>
  <c r="M248" i="58"/>
  <c r="O126" i="58"/>
  <c r="P264" i="58"/>
  <c r="N240" i="58"/>
  <c r="S154" i="51"/>
  <c r="P250" i="58"/>
  <c r="L129" i="58"/>
  <c r="N225" i="58"/>
  <c r="L246" i="58"/>
  <c r="S171" i="51"/>
  <c r="R142" i="58"/>
  <c r="M238" i="58"/>
  <c r="L251" i="58"/>
  <c r="O133" i="58"/>
  <c r="S169" i="51"/>
  <c r="N232" i="58"/>
  <c r="N138" i="58"/>
  <c r="R143" i="58"/>
  <c r="R236" i="58"/>
  <c r="R246" i="58"/>
  <c r="L244" i="58"/>
  <c r="Q252" i="58"/>
  <c r="P133" i="58"/>
  <c r="P142" i="58"/>
  <c r="S181" i="51"/>
  <c r="Q142" i="58"/>
  <c r="O250" i="58"/>
  <c r="M250" i="58"/>
  <c r="L137" i="58"/>
  <c r="L143" i="58"/>
  <c r="P247" i="58"/>
  <c r="N251" i="58"/>
  <c r="Q225" i="58"/>
  <c r="R251" i="58"/>
  <c r="M225" i="58"/>
  <c r="M147" i="58"/>
  <c r="Q137" i="58"/>
  <c r="N126" i="58"/>
  <c r="P126" i="58"/>
  <c r="Q247" i="58"/>
  <c r="Q256" i="58"/>
  <c r="Q264" i="58"/>
  <c r="R129" i="58"/>
  <c r="S194" i="51"/>
  <c r="N235" i="58"/>
  <c r="M264" i="58"/>
  <c r="O228" i="58"/>
  <c r="S41" i="51"/>
  <c r="O254" i="58"/>
  <c r="N236" i="58"/>
  <c r="Q127" i="58"/>
  <c r="M138" i="58"/>
  <c r="L230" i="58"/>
  <c r="O127" i="58"/>
  <c r="P127" i="58"/>
  <c r="M236" i="58"/>
  <c r="R254" i="58"/>
  <c r="P229" i="58"/>
  <c r="Q251" i="58"/>
  <c r="M228" i="58"/>
  <c r="N244" i="58"/>
  <c r="R229" i="58"/>
  <c r="P254" i="58"/>
  <c r="Q133" i="58"/>
  <c r="S155" i="51"/>
  <c r="P248" i="58"/>
  <c r="O244" i="58"/>
  <c r="S63" i="51"/>
  <c r="M131" i="58"/>
  <c r="R133" i="58"/>
  <c r="S184" i="51"/>
  <c r="M254" i="58"/>
  <c r="S50" i="51"/>
  <c r="S39" i="51"/>
  <c r="S163" i="51"/>
  <c r="Q244" i="58"/>
  <c r="N133" i="58"/>
  <c r="O225" i="58"/>
  <c r="O256" i="58"/>
  <c r="L229" i="58"/>
  <c r="S156" i="51"/>
  <c r="R232" i="58"/>
  <c r="R148" i="58"/>
  <c r="L148" i="58"/>
  <c r="O236" i="58"/>
  <c r="R244" i="58"/>
  <c r="N254" i="58"/>
  <c r="R264" i="58"/>
  <c r="M229" i="58"/>
  <c r="M148" i="58"/>
  <c r="M246" i="58"/>
  <c r="Q147" i="58"/>
  <c r="O147" i="58"/>
  <c r="Q236" i="58"/>
  <c r="O229" i="58"/>
  <c r="M133" i="58"/>
  <c r="P138" i="58"/>
  <c r="S43" i="51"/>
  <c r="P148" i="58"/>
  <c r="P251" i="58"/>
  <c r="N127" i="58"/>
  <c r="L248" i="58"/>
  <c r="Q229" i="58"/>
  <c r="S152" i="51"/>
  <c r="L138" i="58"/>
  <c r="R147" i="58"/>
  <c r="L225" i="58"/>
  <c r="O148" i="58"/>
  <c r="S45" i="51"/>
  <c r="S162" i="51"/>
  <c r="L125" i="58"/>
  <c r="P245" i="58"/>
  <c r="S51" i="51"/>
  <c r="O247" i="58"/>
  <c r="O237" i="58"/>
  <c r="M132" i="58"/>
  <c r="L245" i="58"/>
  <c r="O230" i="58"/>
  <c r="M239" i="58"/>
  <c r="O245" i="58"/>
  <c r="N239" i="58"/>
  <c r="P139" i="58"/>
  <c r="N245" i="58"/>
  <c r="L237" i="58"/>
  <c r="P237" i="58"/>
  <c r="Q235" i="58"/>
  <c r="Q132" i="58"/>
  <c r="L239" i="58"/>
  <c r="R235" i="58"/>
  <c r="Q234" i="58"/>
  <c r="M235" i="58"/>
  <c r="Q139" i="58"/>
  <c r="Q239" i="58"/>
  <c r="L132" i="58"/>
  <c r="O227" i="58"/>
  <c r="N139" i="58"/>
  <c r="P236" i="58"/>
  <c r="M230" i="58"/>
  <c r="S47" i="51"/>
  <c r="N256" i="58"/>
  <c r="O138" i="58"/>
  <c r="Q245" i="58"/>
  <c r="R139" i="58"/>
  <c r="S175" i="51"/>
  <c r="M245" i="58"/>
  <c r="M135" i="58"/>
  <c r="L131" i="58"/>
  <c r="P227" i="58"/>
  <c r="R132" i="58"/>
  <c r="S164" i="51"/>
  <c r="P235" i="58"/>
  <c r="Q135" i="58"/>
  <c r="M137" i="58"/>
  <c r="M152" i="58"/>
  <c r="R127" i="58"/>
  <c r="Q242" i="58"/>
  <c r="P131" i="58"/>
  <c r="O132" i="58"/>
  <c r="R230" i="58"/>
  <c r="P152" i="58"/>
  <c r="N128" i="58"/>
  <c r="R242" i="58"/>
  <c r="R239" i="58"/>
  <c r="S44" i="51"/>
  <c r="R247" i="58"/>
  <c r="N227" i="58"/>
  <c r="P230" i="58"/>
  <c r="R250" i="58"/>
  <c r="L152" i="58"/>
  <c r="P242" i="58"/>
  <c r="S182" i="51"/>
  <c r="P129" i="58"/>
  <c r="N237" i="58"/>
  <c r="M252" i="58"/>
  <c r="R248" i="58"/>
  <c r="Q151" i="58"/>
  <c r="P256" i="58"/>
  <c r="P252" i="58"/>
  <c r="N125" i="58"/>
  <c r="L240" i="58"/>
  <c r="Q240" i="58"/>
  <c r="R152" i="58"/>
  <c r="O248" i="58"/>
  <c r="N248" i="58"/>
  <c r="L250" i="58"/>
  <c r="R256" i="58"/>
  <c r="L242" i="58"/>
  <c r="L247" i="58"/>
  <c r="P239" i="58"/>
  <c r="O239" i="58"/>
  <c r="Q237" i="58"/>
  <c r="S157" i="51"/>
  <c r="L139" i="58"/>
  <c r="S56" i="51"/>
  <c r="Q128" i="58"/>
  <c r="Q131" i="58"/>
  <c r="M247" i="58"/>
  <c r="L256" i="58"/>
  <c r="R237" i="58"/>
  <c r="S40" i="51"/>
  <c r="Q125" i="58"/>
  <c r="P137" i="58"/>
  <c r="M125" i="58"/>
  <c r="M127" i="58"/>
  <c r="N135" i="58"/>
  <c r="L235" i="58"/>
  <c r="L135" i="58"/>
  <c r="P151" i="58"/>
  <c r="L252" i="58"/>
  <c r="N247" i="58"/>
  <c r="N131" i="58"/>
  <c r="R252" i="58"/>
  <c r="M139" i="58"/>
  <c r="L234" i="58"/>
  <c r="P234" i="58"/>
  <c r="Q144" i="58"/>
  <c r="P144" i="58"/>
  <c r="N132" i="58"/>
  <c r="L150" i="58"/>
  <c r="S65" i="51"/>
  <c r="R144" i="58"/>
  <c r="Q152" i="58"/>
  <c r="P128" i="58"/>
  <c r="N230" i="58"/>
  <c r="Q146" i="58"/>
  <c r="P146" i="58"/>
  <c r="N144" i="58"/>
  <c r="O234" i="58"/>
  <c r="R234" i="58"/>
  <c r="M128" i="58"/>
  <c r="M144" i="58"/>
  <c r="R150" i="58"/>
  <c r="M234" i="58"/>
  <c r="P150" i="58"/>
  <c r="R128" i="58"/>
  <c r="R138" i="58"/>
  <c r="N234" i="58"/>
  <c r="S67" i="51"/>
  <c r="O144" i="58"/>
  <c r="O142" i="58"/>
  <c r="N142" i="58"/>
  <c r="L142" i="58"/>
  <c r="M142" i="58"/>
  <c r="R243" i="58"/>
  <c r="R233" i="58"/>
  <c r="L134" i="58"/>
  <c r="R134" i="58"/>
  <c r="M134" i="58"/>
  <c r="P134" i="58"/>
  <c r="Q134" i="58"/>
  <c r="N134" i="58"/>
  <c r="S46" i="51"/>
  <c r="Q233" i="58"/>
  <c r="L243" i="58"/>
  <c r="P243" i="58"/>
  <c r="S170" i="51"/>
  <c r="N243" i="58"/>
  <c r="O243" i="58"/>
  <c r="L233" i="58"/>
  <c r="S160" i="51"/>
  <c r="M233" i="58"/>
  <c r="N233" i="58"/>
  <c r="O233" i="58"/>
  <c r="Q145" i="58"/>
  <c r="O145" i="58"/>
  <c r="P145" i="58"/>
  <c r="R145" i="58"/>
  <c r="M145" i="58"/>
  <c r="S60" i="51"/>
  <c r="L145" i="58"/>
  <c r="N145" i="58"/>
  <c r="M243" i="58" l="1"/>
  <c r="O150" i="58"/>
  <c r="M150" i="58"/>
  <c r="R136" i="58"/>
  <c r="O146" i="58"/>
  <c r="N146" i="58"/>
  <c r="N153" i="58"/>
  <c r="M153" i="58"/>
  <c r="L153" i="58"/>
  <c r="L154" i="58"/>
  <c r="L146" i="58"/>
  <c r="L249" i="58"/>
  <c r="P140" i="58"/>
  <c r="R146" i="58"/>
  <c r="R253" i="58"/>
  <c r="N255" i="58"/>
  <c r="M255" i="58"/>
  <c r="R153" i="58"/>
  <c r="O149" i="58"/>
  <c r="Q150" i="58"/>
  <c r="S150" i="58" s="1"/>
  <c r="L156" i="58"/>
  <c r="M140" i="58"/>
  <c r="M154" i="58"/>
  <c r="N253" i="58"/>
  <c r="Q253" i="58"/>
  <c r="P255" i="58"/>
  <c r="N130" i="58"/>
  <c r="R241" i="58"/>
  <c r="O231" i="58"/>
  <c r="N154" i="58"/>
  <c r="L255" i="58"/>
  <c r="N136" i="58"/>
  <c r="L253" i="58"/>
  <c r="O253" i="58"/>
  <c r="Q136" i="58"/>
  <c r="L136" i="58"/>
  <c r="M136" i="58"/>
  <c r="M253" i="58"/>
  <c r="S183" i="51"/>
  <c r="P253" i="58"/>
  <c r="L254" i="58"/>
  <c r="S254" i="58" s="1"/>
  <c r="S165" i="51"/>
  <c r="M164" i="58"/>
  <c r="Q255" i="58"/>
  <c r="P136" i="58"/>
  <c r="S48" i="51"/>
  <c r="L141" i="58"/>
  <c r="N238" i="58"/>
  <c r="P154" i="58"/>
  <c r="R154" i="58"/>
  <c r="P249" i="58"/>
  <c r="S179" i="51"/>
  <c r="O255" i="58"/>
  <c r="M141" i="58"/>
  <c r="N241" i="58"/>
  <c r="P164" i="58"/>
  <c r="O238" i="58"/>
  <c r="Q140" i="58"/>
  <c r="O136" i="58"/>
  <c r="N231" i="58"/>
  <c r="Q155" i="58"/>
  <c r="O155" i="58"/>
  <c r="N155" i="58"/>
  <c r="Q249" i="58"/>
  <c r="P238" i="58"/>
  <c r="N140" i="58"/>
  <c r="L164" i="58"/>
  <c r="L155" i="58"/>
  <c r="P155" i="58"/>
  <c r="S52" i="51"/>
  <c r="M155" i="58"/>
  <c r="R155" i="58"/>
  <c r="N249" i="58"/>
  <c r="R255" i="58"/>
  <c r="R164" i="58"/>
  <c r="Q154" i="58"/>
  <c r="L140" i="58"/>
  <c r="O140" i="58"/>
  <c r="Q153" i="58"/>
  <c r="O154" i="58"/>
  <c r="S158" i="51"/>
  <c r="S68" i="51"/>
  <c r="O153" i="58"/>
  <c r="P153" i="58"/>
  <c r="O164" i="58"/>
  <c r="M249" i="58"/>
  <c r="O249" i="58"/>
  <c r="Q241" i="58"/>
  <c r="R249" i="58"/>
  <c r="R238" i="58"/>
  <c r="R140" i="58"/>
  <c r="S64" i="51"/>
  <c r="L149" i="58"/>
  <c r="P156" i="58"/>
  <c r="M130" i="58"/>
  <c r="Q149" i="58"/>
  <c r="M149" i="58"/>
  <c r="P149" i="58"/>
  <c r="S168" i="51"/>
  <c r="Q130" i="58"/>
  <c r="N149" i="58"/>
  <c r="O156" i="58"/>
  <c r="R149" i="58"/>
  <c r="P241" i="58"/>
  <c r="O130" i="58"/>
  <c r="L130" i="58"/>
  <c r="L231" i="58"/>
  <c r="S71" i="51"/>
  <c r="Q156" i="58"/>
  <c r="S42" i="51"/>
  <c r="L238" i="58"/>
  <c r="R231" i="58"/>
  <c r="R141" i="58"/>
  <c r="R156" i="58"/>
  <c r="N156" i="58"/>
  <c r="M241" i="58"/>
  <c r="M231" i="58"/>
  <c r="O241" i="58"/>
  <c r="N164" i="58"/>
  <c r="Q164" i="58"/>
  <c r="P130" i="58"/>
  <c r="Q231" i="58"/>
  <c r="O141" i="58"/>
  <c r="R130" i="58"/>
  <c r="Q141" i="58"/>
  <c r="P231" i="58"/>
  <c r="L241" i="58"/>
  <c r="S53" i="51"/>
  <c r="M156" i="58"/>
  <c r="P141" i="58"/>
  <c r="S240" i="58"/>
  <c r="S226" i="58"/>
  <c r="S236" i="58"/>
  <c r="S251" i="58"/>
  <c r="S246" i="58"/>
  <c r="S125" i="58"/>
  <c r="S232" i="58"/>
  <c r="S225" i="58"/>
  <c r="S227" i="58"/>
  <c r="S131" i="58"/>
  <c r="S245" i="58"/>
  <c r="S229" i="58"/>
  <c r="S148" i="58"/>
  <c r="S244" i="58"/>
  <c r="S147" i="58"/>
  <c r="S126" i="58"/>
  <c r="S143" i="58"/>
  <c r="S138" i="58"/>
  <c r="S250" i="58"/>
  <c r="S137" i="58"/>
  <c r="S127" i="58"/>
  <c r="S228" i="58"/>
  <c r="S129" i="58"/>
  <c r="S264" i="58"/>
  <c r="S133" i="58"/>
  <c r="S142" i="58"/>
  <c r="S237" i="58"/>
  <c r="S139" i="58"/>
  <c r="S235" i="58"/>
  <c r="S256" i="58"/>
  <c r="S230" i="58"/>
  <c r="S151" i="58"/>
  <c r="S248" i="58"/>
  <c r="S252" i="58"/>
  <c r="S247" i="58"/>
  <c r="S242" i="58"/>
  <c r="S135" i="58"/>
  <c r="S132" i="58"/>
  <c r="S239" i="58"/>
  <c r="S152" i="58"/>
  <c r="S144" i="58"/>
  <c r="S243" i="58"/>
  <c r="S234" i="58"/>
  <c r="S128" i="58"/>
  <c r="S134" i="58"/>
  <c r="S233" i="58"/>
  <c r="S145" i="58"/>
  <c r="S146" i="58" l="1"/>
  <c r="S253" i="58"/>
  <c r="S136" i="58"/>
  <c r="S155" i="58"/>
  <c r="S255" i="58"/>
  <c r="S154" i="58"/>
  <c r="S249" i="58"/>
  <c r="S153" i="58"/>
  <c r="S140" i="58"/>
  <c r="S149" i="58"/>
  <c r="S130" i="58"/>
  <c r="S164" i="58"/>
  <c r="S238" i="58"/>
  <c r="S241" i="58"/>
  <c r="S156" i="58"/>
  <c r="S231" i="58"/>
  <c r="S141" i="5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Q27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Copiar el valor de la hoja de Uestandar-Uexp, relacionado a la ecuación de la curva de calibración del sesgo</t>
        </r>
      </text>
    </comment>
    <comment ref="Q40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copiar el valor de la hoja de Uestandar-Uexp, relacionado a la ecuación de la curva de  reproducibilidad.</t>
        </r>
      </text>
    </comment>
    <comment ref="E60" authorId="0" shapeId="0" xr:uid="{C68E316A-5A6F-1F4E-B209-BAB676405F53}">
      <text>
        <r>
          <rPr>
            <sz val="10"/>
            <color rgb="FF000000"/>
            <rFont val="Arial"/>
            <family val="2"/>
          </rPr>
          <t xml:space="preserve">HP:
</t>
        </r>
        <r>
          <rPr>
            <sz val="10"/>
            <color rgb="FF000000"/>
            <rFont val="Arial"/>
            <family val="2"/>
          </rPr>
          <t>Si el valor es negativo, digitar el signo menos ( - ) dentro de la celda.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YANI</author>
  </authors>
  <commentList>
    <comment ref="K85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YANI:</t>
        </r>
        <r>
          <rPr>
            <sz val="9"/>
            <color indexed="81"/>
            <rFont val="Tahoma"/>
            <family val="2"/>
          </rPr>
          <t xml:space="preserve">
Registrar del C. Calibracion</t>
        </r>
      </text>
    </comment>
    <comment ref="O85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YANI:</t>
        </r>
        <r>
          <rPr>
            <sz val="9"/>
            <color indexed="81"/>
            <rFont val="Tahoma"/>
            <family val="2"/>
          </rPr>
          <t xml:space="preserve">
Registrar del C. Calibracion</t>
        </r>
      </text>
    </comment>
  </commentList>
</comments>
</file>

<file path=xl/sharedStrings.xml><?xml version="1.0" encoding="utf-8"?>
<sst xmlns="http://schemas.openxmlformats.org/spreadsheetml/2006/main" count="1404" uniqueCount="294">
  <si>
    <t>Codigo de Muestra</t>
  </si>
  <si>
    <t>FORMATO</t>
  </si>
  <si>
    <t>Código:</t>
  </si>
  <si>
    <t>Versión:</t>
  </si>
  <si>
    <t>Página:</t>
  </si>
  <si>
    <t>Fecha</t>
  </si>
  <si>
    <t>Sede / Laboratorio</t>
  </si>
  <si>
    <t>Ensayo:</t>
  </si>
  <si>
    <t>Donde:</t>
  </si>
  <si>
    <t>Tipo</t>
  </si>
  <si>
    <t>M</t>
  </si>
  <si>
    <t>D</t>
  </si>
  <si>
    <t>R</t>
  </si>
  <si>
    <t>+</t>
  </si>
  <si>
    <t>a=</t>
  </si>
  <si>
    <t>b=</t>
  </si>
  <si>
    <t>Realizado Por:</t>
  </si>
  <si>
    <t>Metodo:</t>
  </si>
  <si>
    <t>Balanza</t>
  </si>
  <si>
    <t>Rcorreg=</t>
  </si>
  <si>
    <t>N</t>
  </si>
  <si>
    <t>Item</t>
  </si>
  <si>
    <t>n</t>
  </si>
  <si>
    <t xml:space="preserve">Varianza </t>
  </si>
  <si>
    <t>Sesgo</t>
  </si>
  <si>
    <t>u (sesgo)</t>
  </si>
  <si>
    <t>u SR</t>
  </si>
  <si>
    <t>V =</t>
  </si>
  <si>
    <t>K =</t>
  </si>
  <si>
    <t>a =</t>
  </si>
  <si>
    <t>b =</t>
  </si>
  <si>
    <t>k</t>
  </si>
  <si>
    <t>-</t>
  </si>
  <si>
    <r>
      <t>u</t>
    </r>
    <r>
      <rPr>
        <b/>
        <vertAlign val="superscript"/>
        <sz val="12"/>
        <rFont val="Arial"/>
        <family val="2"/>
      </rPr>
      <t>2</t>
    </r>
    <r>
      <rPr>
        <b/>
        <vertAlign val="subscript"/>
        <sz val="12"/>
        <rFont val="Arial"/>
        <family val="2"/>
      </rPr>
      <t>Comb</t>
    </r>
  </si>
  <si>
    <t>REPORTE DE RESULTADOS COLORIMETRICOS</t>
  </si>
  <si>
    <t>F-82</t>
  </si>
  <si>
    <t>Espectrofotometro UV-VIS</t>
  </si>
  <si>
    <t>Curva de Calibracion de Fosforo (P)</t>
  </si>
  <si>
    <t>Estandar</t>
  </si>
  <si>
    <t>BK</t>
  </si>
  <si>
    <t>STD1</t>
  </si>
  <si>
    <t>STD2</t>
  </si>
  <si>
    <t>STD3</t>
  </si>
  <si>
    <t>STD4</t>
  </si>
  <si>
    <t>Concentración (mg/L)</t>
  </si>
  <si>
    <t>Absorbancia (A°)</t>
  </si>
  <si>
    <t>Vf =</t>
  </si>
  <si>
    <t>Vi=</t>
  </si>
  <si>
    <t>p=</t>
  </si>
  <si>
    <t>CC =</t>
  </si>
  <si>
    <t>Concentración en la curva (mg/L P)</t>
  </si>
  <si>
    <t>Volumen final de la solucion colorimetrica (mL)</t>
  </si>
  <si>
    <t>A=</t>
  </si>
  <si>
    <t>Alicuita del extracto usado en colorimetria (mL)</t>
  </si>
  <si>
    <t>Volumen de la solucion empleada para el extracto (mL)</t>
  </si>
  <si>
    <t>Peso de la muestra seca al aire</t>
  </si>
  <si>
    <t>Vf (ml)</t>
  </si>
  <si>
    <t>Vi (ml)</t>
  </si>
  <si>
    <t>p (g)</t>
  </si>
  <si>
    <t>LABSAF ILLPA</t>
  </si>
  <si>
    <t>STD5</t>
  </si>
  <si>
    <t>Vf (mL)</t>
  </si>
  <si>
    <t>Pdis (mg/Kg)</t>
  </si>
  <si>
    <t>La ecuación de regresión es:</t>
  </si>
  <si>
    <t>Asorbancia</t>
  </si>
  <si>
    <t>=</t>
  </si>
  <si>
    <t>conc.</t>
  </si>
  <si>
    <t>(mg/L)</t>
  </si>
  <si>
    <t>F</t>
  </si>
  <si>
    <t>Total</t>
  </si>
  <si>
    <r>
      <t>U</t>
    </r>
    <r>
      <rPr>
        <vertAlign val="subscript"/>
        <sz val="9"/>
        <rFont val="Arial"/>
        <family val="2"/>
      </rPr>
      <t>K</t>
    </r>
    <r>
      <rPr>
        <sz val="9"/>
        <rFont val="Arial"/>
        <family val="2"/>
      </rPr>
      <t xml:space="preserve"> =</t>
    </r>
  </si>
  <si>
    <r>
      <t>u</t>
    </r>
    <r>
      <rPr>
        <vertAlign val="subscript"/>
        <sz val="9"/>
        <rFont val="Arial"/>
        <family val="2"/>
      </rPr>
      <t>V</t>
    </r>
    <r>
      <rPr>
        <sz val="9"/>
        <rFont val="Arial"/>
        <family val="2"/>
      </rPr>
      <t>=</t>
    </r>
  </si>
  <si>
    <t>Incertidumbre estandar del volumen (mL)</t>
  </si>
  <si>
    <t>Incertidumbre expandida de la balanza</t>
  </si>
  <si>
    <r>
      <t>U</t>
    </r>
    <r>
      <rPr>
        <vertAlign val="subscript"/>
        <sz val="10"/>
        <color theme="1"/>
        <rFont val="Arial"/>
        <family val="2"/>
      </rPr>
      <t>K</t>
    </r>
    <r>
      <rPr>
        <sz val="10"/>
        <color theme="1"/>
        <rFont val="Arial"/>
        <family val="2"/>
      </rPr>
      <t xml:space="preserve"> =</t>
    </r>
  </si>
  <si>
    <t>Volúmen final de solucion colorimetrica (mL)</t>
  </si>
  <si>
    <t>Factor de cobertura de la calibración de matraz volumetrico</t>
  </si>
  <si>
    <t>K=</t>
  </si>
  <si>
    <t>Incertidumbre expandida del matraz vol. 50 mL</t>
  </si>
  <si>
    <r>
      <t>u</t>
    </r>
    <r>
      <rPr>
        <vertAlign val="subscript"/>
        <sz val="10"/>
        <color theme="1"/>
        <rFont val="Arial"/>
        <family val="2"/>
      </rPr>
      <t>V</t>
    </r>
    <r>
      <rPr>
        <sz val="10"/>
        <color theme="1"/>
        <rFont val="Arial"/>
        <family val="2"/>
      </rPr>
      <t>=</t>
    </r>
  </si>
  <si>
    <t>Vi (mL)</t>
  </si>
  <si>
    <t>a (mL)</t>
  </si>
  <si>
    <t>p (g.)</t>
  </si>
  <si>
    <t>NOM-021-RECNAT-2000. item 7.1.10 AS-11</t>
  </si>
  <si>
    <t>Concentración
 (mg/L)</t>
  </si>
  <si>
    <t>Errot típico (sr)</t>
  </si>
  <si>
    <t>Puntos de Calibración (N)</t>
  </si>
  <si>
    <r>
      <t>Abs. promedio (y</t>
    </r>
    <r>
      <rPr>
        <b/>
        <vertAlign val="subscript"/>
        <sz val="10"/>
        <rFont val="Arial"/>
        <family val="2"/>
      </rPr>
      <t>prom</t>
    </r>
    <r>
      <rPr>
        <b/>
        <sz val="10"/>
        <rFont val="Arial"/>
        <family val="2"/>
      </rPr>
      <t>)</t>
    </r>
  </si>
  <si>
    <r>
      <t>Conc. promedio (x</t>
    </r>
    <r>
      <rPr>
        <b/>
        <vertAlign val="subscript"/>
        <sz val="10"/>
        <rFont val="Arial"/>
        <family val="2"/>
      </rPr>
      <t>prom</t>
    </r>
    <r>
      <rPr>
        <b/>
        <sz val="10"/>
        <rFont val="Arial"/>
        <family val="2"/>
      </rPr>
      <t>)</t>
    </r>
  </si>
  <si>
    <t>Absorbancia</t>
  </si>
  <si>
    <r>
      <t>∑(x-x prom)</t>
    </r>
    <r>
      <rPr>
        <b/>
        <vertAlign val="superscript"/>
        <sz val="10"/>
        <rFont val="Arial"/>
        <family val="2"/>
      </rPr>
      <t>2</t>
    </r>
  </si>
  <si>
    <r>
      <t>(x-x prom)</t>
    </r>
    <r>
      <rPr>
        <b/>
        <vertAlign val="superscript"/>
        <sz val="9"/>
        <rFont val="Arial"/>
        <family val="2"/>
      </rPr>
      <t>2</t>
    </r>
  </si>
  <si>
    <t>Sr/m</t>
  </si>
  <si>
    <t>(1/k)+(1/N)</t>
  </si>
  <si>
    <t>Equipo</t>
  </si>
  <si>
    <t>Código</t>
  </si>
  <si>
    <t>Réplicas (k)</t>
  </si>
  <si>
    <t>m2*∑(x-x.prom)2</t>
  </si>
  <si>
    <t>Suma</t>
  </si>
  <si>
    <t>Origen de las variaciones</t>
  </si>
  <si>
    <t>Suma de cuadrados</t>
  </si>
  <si>
    <t>Grados de libertad</t>
  </si>
  <si>
    <t>Promedio de los cuadrados</t>
  </si>
  <si>
    <t>Suma total</t>
  </si>
  <si>
    <t>Entre grupos</t>
  </si>
  <si>
    <t>Dentro de los grupos</t>
  </si>
  <si>
    <t>Varianza de Repetibilidad (sr2)</t>
  </si>
  <si>
    <t>u de Repetibilidad (u sr)</t>
  </si>
  <si>
    <t>p-valor</t>
  </si>
  <si>
    <r>
      <t>Varianza de operadores (s</t>
    </r>
    <r>
      <rPr>
        <b/>
        <vertAlign val="subscript"/>
        <sz val="9"/>
        <color theme="1"/>
        <rFont val="Arial"/>
        <family val="2"/>
      </rPr>
      <t>R</t>
    </r>
    <r>
      <rPr>
        <b/>
        <vertAlign val="superscript"/>
        <sz val="9"/>
        <color theme="1"/>
        <rFont val="Arial"/>
        <family val="2"/>
      </rPr>
      <t>2</t>
    </r>
    <r>
      <rPr>
        <b/>
        <sz val="9"/>
        <color theme="1"/>
        <rFont val="Arial"/>
        <family val="2"/>
      </rPr>
      <t>)</t>
    </r>
  </si>
  <si>
    <t>u reproducibilidad (u sR)</t>
  </si>
  <si>
    <t>u precisión</t>
  </si>
  <si>
    <t>Identificación</t>
  </si>
  <si>
    <t>Valor referencial</t>
  </si>
  <si>
    <t>Unidad</t>
  </si>
  <si>
    <t>Iniciales</t>
  </si>
  <si>
    <t>c =</t>
  </si>
  <si>
    <t>MRI</t>
  </si>
  <si>
    <t>VC</t>
  </si>
  <si>
    <t>Blanco</t>
  </si>
  <si>
    <t>= Blanco</t>
  </si>
  <si>
    <t>= Muestra</t>
  </si>
  <si>
    <t>= Verificación de curva</t>
  </si>
  <si>
    <t>= Duplicado</t>
  </si>
  <si>
    <t>Tipo:</t>
  </si>
  <si>
    <t>= Material de referencia interno</t>
  </si>
  <si>
    <t>mg/L</t>
  </si>
  <si>
    <t>Certificado Cal.</t>
  </si>
  <si>
    <t>Fecha Cal.</t>
  </si>
  <si>
    <t>CC (mg/L)</t>
  </si>
  <si>
    <t>Probeta</t>
  </si>
  <si>
    <t>Pto Calibración</t>
  </si>
  <si>
    <t>U (k=2)</t>
  </si>
  <si>
    <t>U (k=2) Max</t>
  </si>
  <si>
    <t>u =</t>
  </si>
  <si>
    <r>
      <t>u</t>
    </r>
    <r>
      <rPr>
        <vertAlign val="subscript"/>
        <sz val="10"/>
        <color theme="1"/>
        <rFont val="Arial"/>
        <family val="2"/>
      </rPr>
      <t>v</t>
    </r>
    <r>
      <rPr>
        <sz val="10"/>
        <color theme="1"/>
        <rFont val="Arial"/>
        <family val="2"/>
      </rPr>
      <t xml:space="preserve"> =</t>
    </r>
  </si>
  <si>
    <t>Incertidumbre expandida</t>
  </si>
  <si>
    <t>Incertidumbre expandida máxima</t>
  </si>
  <si>
    <t>U (k =2) =</t>
  </si>
  <si>
    <t>U (k =2) Max =</t>
  </si>
  <si>
    <t>U =</t>
  </si>
  <si>
    <t>Incertidumbre estandar de la balanza</t>
  </si>
  <si>
    <t>Factor de cobertura de la calibración de la balanza, k=2</t>
  </si>
  <si>
    <t>R=</t>
  </si>
  <si>
    <t>Indicación de la lectura de la balanza</t>
  </si>
  <si>
    <t>g =</t>
  </si>
  <si>
    <t>gramos</t>
  </si>
  <si>
    <t>3 ESTIMACIÓN DE LA INCERTIDUMBRE ESTÁNDAR: FACTOR FÓRMULA</t>
  </si>
  <si>
    <t>1. ESTIMACION DE LA INCERTIDUMBRE ESTÁNDAR: FACTOR SESGO</t>
  </si>
  <si>
    <t>k =</t>
  </si>
  <si>
    <r>
      <t>U</t>
    </r>
    <r>
      <rPr>
        <b/>
        <vertAlign val="subscript"/>
        <sz val="12"/>
        <rFont val="Arial"/>
        <family val="2"/>
      </rPr>
      <t xml:space="preserve">EXP </t>
    </r>
  </si>
  <si>
    <r>
      <t>u</t>
    </r>
    <r>
      <rPr>
        <vertAlign val="subscript"/>
        <sz val="12"/>
        <rFont val="Arial"/>
        <family val="2"/>
      </rPr>
      <t>a</t>
    </r>
  </si>
  <si>
    <r>
      <t>u</t>
    </r>
    <r>
      <rPr>
        <vertAlign val="subscript"/>
        <sz val="12"/>
        <rFont val="Arial"/>
        <family val="2"/>
      </rPr>
      <t>vf</t>
    </r>
  </si>
  <si>
    <r>
      <t>u</t>
    </r>
    <r>
      <rPr>
        <vertAlign val="subscript"/>
        <sz val="12"/>
        <rFont val="Arial"/>
        <family val="2"/>
      </rPr>
      <t>p</t>
    </r>
  </si>
  <si>
    <r>
      <t>u</t>
    </r>
    <r>
      <rPr>
        <vertAlign val="subscript"/>
        <sz val="12"/>
        <rFont val="Arial"/>
        <family val="2"/>
      </rPr>
      <t>vi</t>
    </r>
  </si>
  <si>
    <r>
      <t>u</t>
    </r>
    <r>
      <rPr>
        <vertAlign val="subscript"/>
        <sz val="12"/>
        <rFont val="Arial"/>
        <family val="2"/>
      </rPr>
      <t>Precisión</t>
    </r>
  </si>
  <si>
    <r>
      <t>u</t>
    </r>
    <r>
      <rPr>
        <vertAlign val="subscript"/>
        <sz val="12"/>
        <rFont val="Arial"/>
        <family val="2"/>
      </rPr>
      <t>Sesgo</t>
    </r>
  </si>
  <si>
    <t>U exp</t>
  </si>
  <si>
    <t>Resultado</t>
  </si>
  <si>
    <t>Control de Aseguramiento</t>
  </si>
  <si>
    <t>Vi (ml)
(corr.)</t>
  </si>
  <si>
    <t>Vf (ml)
(Corr.)</t>
  </si>
  <si>
    <t>Equipamiento:</t>
  </si>
  <si>
    <t>Micropipeta</t>
  </si>
  <si>
    <t>Certificado Calib.</t>
  </si>
  <si>
    <t>Fecha Calib.</t>
  </si>
  <si>
    <t>Max</t>
  </si>
  <si>
    <t>Min</t>
  </si>
  <si>
    <t>Cada 20 muestras o menos</t>
  </si>
  <si>
    <t>±</t>
  </si>
  <si>
    <t>%</t>
  </si>
  <si>
    <t>VC (% Error) =</t>
  </si>
  <si>
    <t>D (% RPD) =</t>
  </si>
  <si>
    <t>MRI =</t>
  </si>
  <si>
    <t>Límite de Cuantificación</t>
  </si>
  <si>
    <t>Fórmula del método</t>
  </si>
  <si>
    <t>LC =</t>
  </si>
  <si>
    <t>mg/Kg</t>
  </si>
  <si>
    <t>Pto Calib</t>
  </si>
  <si>
    <t>b</t>
  </si>
  <si>
    <t>a</t>
  </si>
  <si>
    <t>CC curva (mg/L)</t>
  </si>
  <si>
    <t>Lectura (Abs)</t>
  </si>
  <si>
    <t>Resultado (mg/Kg)</t>
  </si>
  <si>
    <t>p (g) 
(corr.)</t>
  </si>
  <si>
    <r>
      <t xml:space="preserve">Evaluacion LC
</t>
    </r>
    <r>
      <rPr>
        <i/>
        <sz val="9"/>
        <rFont val="Arial"/>
        <family val="2"/>
      </rPr>
      <t>"Reportar"</t>
    </r>
  </si>
  <si>
    <t xml:space="preserve"> E2039-3315A-2023 - 200</t>
  </si>
  <si>
    <t>D1</t>
  </si>
  <si>
    <t>D21</t>
  </si>
  <si>
    <t>D41</t>
  </si>
  <si>
    <t>D61</t>
  </si>
  <si>
    <t>D81</t>
  </si>
  <si>
    <t>D101</t>
  </si>
  <si>
    <t>D121</t>
  </si>
  <si>
    <t>D141</t>
  </si>
  <si>
    <t>D161</t>
  </si>
  <si>
    <t>D181</t>
  </si>
  <si>
    <t>a (ml)</t>
  </si>
  <si>
    <t>mg/kg</t>
  </si>
  <si>
    <t>3.3 Cálculo de la Incertidumbre Estándar asociada al Volumen de la solución extractora (Vi)</t>
  </si>
  <si>
    <t>3.4 Cálculo de la Incertidumbre Estándar asociada al Volumen final de la solucion colorimetrica a leer (Vf)</t>
  </si>
  <si>
    <t>3.5  Cálculo de la Incertidumbre asociada a la Alicuota de la muestra empleada para la cuantificacion (a)</t>
  </si>
  <si>
    <t>3.2  Cálculo de la Incertidumbre del Peso de la muestra seca al aire (p)</t>
  </si>
  <si>
    <t xml:space="preserve">4 ESTIMACIÓN DE LA INCERTIDUMBRE EXPANDIDA DE LA CONCENTRACIÓN </t>
  </si>
  <si>
    <r>
      <t xml:space="preserve">Conclusión
</t>
    </r>
    <r>
      <rPr>
        <b/>
        <sz val="8"/>
        <rFont val="Arial"/>
        <family val="2"/>
      </rPr>
      <t>(C/NC)</t>
    </r>
  </si>
  <si>
    <t>u</t>
  </si>
  <si>
    <t>U</t>
  </si>
  <si>
    <r>
      <t>u</t>
    </r>
    <r>
      <rPr>
        <b/>
        <vertAlign val="subscript"/>
        <sz val="10"/>
        <rFont val="Arial"/>
        <family val="2"/>
      </rPr>
      <t>CC</t>
    </r>
  </si>
  <si>
    <r>
      <t>u</t>
    </r>
    <r>
      <rPr>
        <b/>
        <vertAlign val="subscript"/>
        <sz val="10"/>
        <rFont val="Arial"/>
        <family val="2"/>
      </rPr>
      <t>cc</t>
    </r>
  </si>
  <si>
    <r>
      <t>(C</t>
    </r>
    <r>
      <rPr>
        <b/>
        <vertAlign val="subscript"/>
        <sz val="10"/>
        <rFont val="Arial"/>
        <family val="2"/>
      </rPr>
      <t>i</t>
    </r>
    <r>
      <rPr>
        <b/>
        <sz val="10"/>
        <rFont val="Arial"/>
        <family val="2"/>
      </rPr>
      <t xml:space="preserve"> u</t>
    </r>
    <r>
      <rPr>
        <b/>
        <vertAlign val="subscript"/>
        <sz val="10"/>
        <rFont val="Arial"/>
        <family val="2"/>
      </rPr>
      <t>i</t>
    </r>
    <r>
      <rPr>
        <b/>
        <sz val="10"/>
        <rFont val="Arial"/>
        <family val="2"/>
      </rPr>
      <t>)</t>
    </r>
    <r>
      <rPr>
        <b/>
        <vertAlign val="superscript"/>
        <sz val="10"/>
        <rFont val="Arial"/>
        <family val="2"/>
      </rPr>
      <t>2</t>
    </r>
  </si>
  <si>
    <t>% Participación</t>
  </si>
  <si>
    <t>3.1 Cáculo de la incertidumbre de la Curva de Calibración</t>
  </si>
  <si>
    <t>Estimación de la Incertidumbre</t>
  </si>
  <si>
    <t>Datos para la incertidumbre de medida</t>
  </si>
  <si>
    <t>1. DATOS DEL SESGO</t>
  </si>
  <si>
    <t>Datos de equipos</t>
  </si>
  <si>
    <t>Fecha Calibración</t>
  </si>
  <si>
    <t>1.1. Error</t>
  </si>
  <si>
    <t>1.2. Incertidumbre</t>
  </si>
  <si>
    <t>1. Masa</t>
  </si>
  <si>
    <t>4. Alicuota de la muestra empleada para la cuantificacion (a)</t>
  </si>
  <si>
    <t>Valor Nominal</t>
  </si>
  <si>
    <t>a (ml)
(Corr.)</t>
  </si>
  <si>
    <t>2. ESTIMACION DE LA INCERTIDUMBRE ESTÁNDAR: FACTOR REPRODUCIBILIDAD</t>
  </si>
  <si>
    <t>PROTEGER HOJA AL ACTUALIZAR LOS DATOS</t>
  </si>
  <si>
    <t>Cooeficiente de sensibilidad (Ci)</t>
  </si>
  <si>
    <t>Incertidumbre Estandar (ui)</t>
  </si>
  <si>
    <t>Corregidos</t>
  </si>
  <si>
    <r>
      <t>u</t>
    </r>
    <r>
      <rPr>
        <b/>
        <vertAlign val="subscript"/>
        <sz val="12"/>
        <rFont val="Arial"/>
        <family val="2"/>
      </rPr>
      <t>Comb</t>
    </r>
  </si>
  <si>
    <t>Valor corregido</t>
  </si>
  <si>
    <t>Volumen corregido</t>
  </si>
  <si>
    <t>Espectrofotometro UV</t>
  </si>
  <si>
    <t>Marcar con una "X", si el equipamiento utilizado en la medición se encuentran funcionales, operativos y en buen estado.</t>
  </si>
  <si>
    <t>Si</t>
  </si>
  <si>
    <t>No</t>
  </si>
  <si>
    <t>Si indico "NO", precisar:</t>
  </si>
  <si>
    <t>2. Volumen inicial (Extracción)</t>
  </si>
  <si>
    <t>3. Volumen final (lectura)</t>
  </si>
  <si>
    <t>x</t>
  </si>
  <si>
    <t>STD6</t>
  </si>
  <si>
    <t>Resultado de pH.</t>
  </si>
  <si>
    <t>Hoja de Datos</t>
  </si>
  <si>
    <t>Actualizado por:</t>
  </si>
  <si>
    <t>Fecha de actualización:</t>
  </si>
  <si>
    <t>Revisado por:</t>
  </si>
  <si>
    <t>CAL1</t>
  </si>
  <si>
    <t>CAL2</t>
  </si>
  <si>
    <t>CAL3</t>
  </si>
  <si>
    <t>04</t>
  </si>
  <si>
    <t>N°</t>
  </si>
  <si>
    <t>4 de 4</t>
  </si>
  <si>
    <t>3 de 4</t>
  </si>
  <si>
    <t>2 de 4</t>
  </si>
  <si>
    <t>1 de 4</t>
  </si>
  <si>
    <t>Fecha análisis</t>
  </si>
  <si>
    <t>El llenado del registro es de carácter individual. Debe ser completado únicamente por el ejecutor de la actividad.</t>
  </si>
  <si>
    <t>1. Aseguramiento de la validez de los resultados (analíticos)</t>
  </si>
  <si>
    <t>Potasio disponible</t>
  </si>
  <si>
    <t>Ejecución del Control</t>
  </si>
  <si>
    <t>Controles aplicados</t>
  </si>
  <si>
    <t>Frecuencia de los controles</t>
  </si>
  <si>
    <t>Criterio de aceptación</t>
  </si>
  <si>
    <t>Continuo</t>
  </si>
  <si>
    <t>Material de control de calidad</t>
  </si>
  <si>
    <t>Rango MRC = +/-</t>
  </si>
  <si>
    <t>Día de análisis: 20 muestras o menos</t>
  </si>
  <si>
    <t>Valor MRI =</t>
  </si>
  <si>
    <t>SD =</t>
  </si>
  <si>
    <t>--</t>
  </si>
  <si>
    <t>Rango = +/-</t>
  </si>
  <si>
    <t>SD</t>
  </si>
  <si>
    <t>Repetición MCC (Duplicado)</t>
  </si>
  <si>
    <t>% RPD</t>
  </si>
  <si>
    <t>Valor CV=</t>
  </si>
  <si>
    <t>Número de decimal</t>
  </si>
  <si>
    <t>Fósforo Disponible - Metodo Bray y Kurtz</t>
  </si>
  <si>
    <t>Reporte final de Fósforo disponible</t>
  </si>
  <si>
    <t>Fecha de realización</t>
  </si>
  <si>
    <t>Curva de calibración</t>
  </si>
  <si>
    <t>Análisis</t>
  </si>
  <si>
    <t>2,5</t>
  </si>
  <si>
    <t>Extracción</t>
  </si>
  <si>
    <t>05</t>
  </si>
  <si>
    <t xml:space="preserve">EQ-068-ILL	</t>
  </si>
  <si>
    <t xml:space="preserve">MV-130-ILL	</t>
  </si>
  <si>
    <t>Matraz volumétrico</t>
  </si>
  <si>
    <t xml:space="preserve">EQ-096-ILL	</t>
  </si>
  <si>
    <t xml:space="preserve">EQ-067-ILL	</t>
  </si>
  <si>
    <t xml:space="preserve">Sarid Noriega Beltran					</t>
  </si>
  <si>
    <t>ASR</t>
  </si>
  <si>
    <t>ASC</t>
  </si>
  <si>
    <t>N° BD25-C-0708</t>
  </si>
  <si>
    <t>E2039-3315A-2023 -99</t>
  </si>
  <si>
    <t>MV24-C-2803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</si>
</sst>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00"/>
    <numFmt numFmtId="165" formatCode="0.0"/>
    <numFmt numFmtId="166" formatCode="0.00000"/>
    <numFmt numFmtId="167" formatCode="0.0000"/>
    <numFmt numFmtId="168" formatCode="0.0E+00"/>
    <numFmt numFmtId="169" formatCode="0.000000"/>
    <numFmt numFmtId="170" formatCode="yyyy\-mm\-dd;@"/>
    <numFmt numFmtId="171" formatCode="0.00000000"/>
    <numFmt numFmtId="172" formatCode="0.0000000"/>
    <numFmt numFmtId="173" formatCode="0.000000000"/>
  </numFmts>
  <fonts count="6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4"/>
      <name val="Arial"/>
      <family val="2"/>
    </font>
    <font>
      <b/>
      <sz val="8"/>
      <color indexed="8"/>
      <name val="Arial"/>
      <family val="2"/>
    </font>
    <font>
      <b/>
      <sz val="8"/>
      <color theme="1"/>
      <name val="Arial"/>
      <family val="2"/>
    </font>
    <font>
      <b/>
      <sz val="16"/>
      <color indexed="8"/>
      <name val="Arial"/>
      <family val="2"/>
    </font>
    <font>
      <b/>
      <u/>
      <sz val="10"/>
      <name val="Arial"/>
      <family val="2"/>
    </font>
    <font>
      <b/>
      <vertAlign val="subscript"/>
      <sz val="10"/>
      <name val="Arial"/>
      <family val="2"/>
    </font>
    <font>
      <sz val="10"/>
      <name val="Calibri"/>
      <family val="2"/>
    </font>
    <font>
      <sz val="10"/>
      <color theme="1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9"/>
      <name val="Arial"/>
      <family val="2"/>
    </font>
    <font>
      <b/>
      <sz val="14"/>
      <name val="Arial"/>
      <family val="2"/>
    </font>
    <font>
      <b/>
      <i/>
      <u/>
      <sz val="10"/>
      <name val="Arial"/>
      <family val="2"/>
    </font>
    <font>
      <b/>
      <sz val="10"/>
      <color theme="1"/>
      <name val="Arial"/>
      <family val="2"/>
    </font>
    <font>
      <b/>
      <vertAlign val="superscript"/>
      <sz val="9"/>
      <name val="Arial"/>
      <family val="2"/>
    </font>
    <font>
      <sz val="10"/>
      <name val="Times New Roman"/>
      <family val="1"/>
    </font>
    <font>
      <vertAlign val="subscript"/>
      <sz val="9"/>
      <name val="Arial"/>
      <family val="2"/>
    </font>
    <font>
      <sz val="9"/>
      <name val="Times New Roman"/>
      <family val="1"/>
    </font>
    <font>
      <b/>
      <vertAlign val="superscript"/>
      <sz val="10"/>
      <name val="Arial"/>
      <family val="2"/>
    </font>
    <font>
      <b/>
      <vertAlign val="superscript"/>
      <sz val="12"/>
      <name val="Arial"/>
      <family val="2"/>
    </font>
    <font>
      <b/>
      <vertAlign val="subscript"/>
      <sz val="12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color theme="1"/>
      <name val="Arial"/>
      <family val="2"/>
    </font>
    <font>
      <b/>
      <sz val="8"/>
      <color indexed="8"/>
      <name val="Calibri"/>
      <family val="2"/>
    </font>
    <font>
      <b/>
      <i/>
      <sz val="10"/>
      <name val="Arial"/>
      <family val="2"/>
    </font>
    <font>
      <i/>
      <sz val="10"/>
      <name val="Arial"/>
      <family val="2"/>
    </font>
    <font>
      <vertAlign val="subscript"/>
      <sz val="10"/>
      <color theme="1"/>
      <name val="Arial"/>
      <family val="2"/>
    </font>
    <font>
      <b/>
      <sz val="9"/>
      <color indexed="8"/>
      <name val="Calibri"/>
      <family val="2"/>
    </font>
    <font>
      <b/>
      <vertAlign val="subscript"/>
      <sz val="9"/>
      <color theme="1"/>
      <name val="Arial"/>
      <family val="2"/>
    </font>
    <font>
      <b/>
      <vertAlign val="superscript"/>
      <sz val="9"/>
      <color theme="1"/>
      <name val="Arial"/>
      <family val="2"/>
    </font>
    <font>
      <b/>
      <sz val="8"/>
      <name val="Calibri"/>
      <family val="2"/>
      <scheme val="minor"/>
    </font>
    <font>
      <vertAlign val="subscript"/>
      <sz val="12"/>
      <name val="Arial"/>
      <family val="2"/>
    </font>
    <font>
      <sz val="10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b/>
      <sz val="10"/>
      <color rgb="FF000000"/>
      <name val="Arial"/>
      <family val="2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b/>
      <sz val="9"/>
      <color indexed="8"/>
      <name val="Arial"/>
      <family val="2"/>
    </font>
    <font>
      <b/>
      <sz val="24"/>
      <name val="Arial"/>
      <family val="2"/>
    </font>
    <font>
      <sz val="10"/>
      <color rgb="FF000000"/>
      <name val="Arial"/>
      <family val="2"/>
    </font>
    <font>
      <b/>
      <sz val="16"/>
      <color theme="1"/>
      <name val="Arial"/>
      <family val="2"/>
    </font>
    <font>
      <b/>
      <sz val="5"/>
      <color theme="1"/>
      <name val="Arial"/>
      <family val="2"/>
    </font>
    <font>
      <sz val="5"/>
      <color theme="1"/>
      <name val="Arial"/>
      <family val="2"/>
    </font>
    <font>
      <sz val="5"/>
      <color rgb="FF000000"/>
      <name val="Calibri"/>
      <family val="2"/>
      <scheme val="minor"/>
    </font>
    <font>
      <b/>
      <sz val="10"/>
      <color rgb="FFFF0000"/>
      <name val="Arial"/>
      <family val="2"/>
    </font>
    <font>
      <b/>
      <sz val="14"/>
      <color theme="1"/>
      <name val="Arial"/>
      <family val="2"/>
    </font>
    <font>
      <b/>
      <i/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9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Arial"/>
      <family val="2"/>
    </font>
    <font>
      <b/>
      <sz val="24"/>
      <color rgb="FFFF000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8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8168889431442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39997558519241921"/>
        <bgColor rgb="FF9CC2E5"/>
      </patternFill>
    </fill>
    <fill>
      <patternFill patternType="solid">
        <fgColor theme="6" tint="0.59999389629810485"/>
        <bgColor theme="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8496B0"/>
        <bgColor rgb="FF8496B0"/>
      </patternFill>
    </fill>
    <fill>
      <patternFill patternType="solid">
        <fgColor theme="0"/>
        <bgColor theme="0"/>
      </patternFill>
    </fill>
    <fill>
      <patternFill patternType="solid">
        <fgColor rgb="FFADB9CA"/>
        <bgColor rgb="FFADB9CA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theme="0"/>
      </patternFill>
    </fill>
    <fill>
      <patternFill patternType="solid">
        <fgColor theme="9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9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1" fillId="0" borderId="0"/>
    <xf numFmtId="9" fontId="38" fillId="0" borderId="0" applyFont="0" applyFill="0" applyBorder="0" applyAlignment="0" applyProtection="0"/>
  </cellStyleXfs>
  <cellXfs count="528">
    <xf numFmtId="0" fontId="0" fillId="0" borderId="0" xfId="0"/>
    <xf numFmtId="0" fontId="3" fillId="2" borderId="0" xfId="2" applyFill="1" applyProtection="1">
      <protection hidden="1"/>
    </xf>
    <xf numFmtId="0" fontId="3" fillId="2" borderId="0" xfId="2" applyFill="1" applyAlignment="1" applyProtection="1">
      <alignment horizontal="center"/>
      <protection hidden="1"/>
    </xf>
    <xf numFmtId="0" fontId="3" fillId="0" borderId="0" xfId="2" applyProtection="1">
      <protection hidden="1"/>
    </xf>
    <xf numFmtId="0" fontId="17" fillId="2" borderId="0" xfId="2" applyFont="1" applyFill="1" applyAlignment="1" applyProtection="1">
      <alignment horizontal="left"/>
      <protection hidden="1"/>
    </xf>
    <xf numFmtId="0" fontId="2" fillId="2" borderId="0" xfId="2" applyFont="1" applyFill="1" applyAlignment="1" applyProtection="1">
      <alignment horizontal="center" vertical="center" wrapText="1"/>
      <protection hidden="1"/>
    </xf>
    <xf numFmtId="164" fontId="2" fillId="12" borderId="1" xfId="2" applyNumberFormat="1" applyFont="1" applyFill="1" applyBorder="1" applyAlignment="1" applyProtection="1">
      <alignment horizontal="center" vertical="center" wrapText="1"/>
      <protection hidden="1"/>
    </xf>
    <xf numFmtId="0" fontId="11" fillId="2" borderId="0" xfId="4" applyFont="1" applyFill="1" applyProtection="1">
      <protection hidden="1"/>
    </xf>
    <xf numFmtId="1" fontId="2" fillId="2" borderId="1" xfId="3" applyNumberFormat="1" applyFont="1" applyFill="1" applyBorder="1" applyAlignment="1" applyProtection="1">
      <alignment horizontal="center" vertical="center"/>
      <protection hidden="1"/>
    </xf>
    <xf numFmtId="1" fontId="3" fillId="2" borderId="1" xfId="3" applyNumberFormat="1" applyFill="1" applyBorder="1" applyAlignment="1" applyProtection="1">
      <alignment horizontal="center" vertical="center"/>
      <protection hidden="1"/>
    </xf>
    <xf numFmtId="2" fontId="3" fillId="2" borderId="1" xfId="5" applyNumberFormat="1" applyFill="1" applyBorder="1" applyAlignment="1" applyProtection="1">
      <alignment horizontal="center"/>
      <protection hidden="1"/>
    </xf>
    <xf numFmtId="2" fontId="3" fillId="2" borderId="0" xfId="2" applyNumberFormat="1" applyFill="1" applyProtection="1">
      <protection hidden="1"/>
    </xf>
    <xf numFmtId="2" fontId="3" fillId="2" borderId="1" xfId="2" applyNumberFormat="1" applyFill="1" applyBorder="1" applyAlignment="1" applyProtection="1">
      <alignment horizontal="center" vertical="center"/>
      <protection hidden="1"/>
    </xf>
    <xf numFmtId="164" fontId="3" fillId="2" borderId="1" xfId="2" applyNumberFormat="1" applyFill="1" applyBorder="1" applyAlignment="1" applyProtection="1">
      <alignment horizontal="center" vertical="center"/>
      <protection hidden="1"/>
    </xf>
    <xf numFmtId="167" fontId="11" fillId="2" borderId="1" xfId="4" applyNumberFormat="1" applyFont="1" applyFill="1" applyBorder="1" applyAlignment="1" applyProtection="1">
      <alignment horizontal="center" vertical="center"/>
      <protection hidden="1"/>
    </xf>
    <xf numFmtId="0" fontId="3" fillId="2" borderId="0" xfId="2" applyFill="1" applyAlignment="1" applyProtection="1">
      <alignment horizontal="right" vertical="center"/>
      <protection hidden="1"/>
    </xf>
    <xf numFmtId="1" fontId="3" fillId="2" borderId="0" xfId="3" applyNumberFormat="1" applyFill="1" applyAlignment="1" applyProtection="1">
      <alignment horizontal="right" vertical="center" wrapText="1"/>
      <protection hidden="1"/>
    </xf>
    <xf numFmtId="0" fontId="11" fillId="2" borderId="0" xfId="4" applyFont="1" applyFill="1" applyAlignment="1" applyProtection="1">
      <alignment horizontal="center" vertical="center"/>
      <protection hidden="1"/>
    </xf>
    <xf numFmtId="0" fontId="3" fillId="2" borderId="12" xfId="2" applyFill="1" applyBorder="1" applyAlignment="1" applyProtection="1">
      <alignment horizontal="center" vertical="center"/>
      <protection hidden="1"/>
    </xf>
    <xf numFmtId="0" fontId="3" fillId="2" borderId="0" xfId="2" applyFill="1" applyAlignment="1" applyProtection="1">
      <alignment horizontal="center" vertical="center"/>
      <protection hidden="1"/>
    </xf>
    <xf numFmtId="0" fontId="3" fillId="0" borderId="0" xfId="2" applyAlignment="1" applyProtection="1">
      <alignment horizontal="center" vertical="center"/>
      <protection hidden="1"/>
    </xf>
    <xf numFmtId="0" fontId="2" fillId="0" borderId="1" xfId="2" applyFont="1" applyBorder="1" applyAlignment="1" applyProtection="1">
      <alignment horizontal="center" vertical="center" wrapText="1"/>
      <protection hidden="1"/>
    </xf>
    <xf numFmtId="0" fontId="3" fillId="2" borderId="0" xfId="2" applyFill="1" applyAlignment="1" applyProtection="1">
      <alignment vertical="center"/>
      <protection hidden="1"/>
    </xf>
    <xf numFmtId="0" fontId="3" fillId="0" borderId="0" xfId="2" applyAlignment="1" applyProtection="1">
      <alignment vertical="center"/>
      <protection hidden="1"/>
    </xf>
    <xf numFmtId="1" fontId="3" fillId="2" borderId="0" xfId="2" quotePrefix="1" applyNumberFormat="1" applyFill="1" applyAlignment="1" applyProtection="1">
      <alignment horizontal="center"/>
      <protection hidden="1"/>
    </xf>
    <xf numFmtId="0" fontId="2" fillId="2" borderId="1" xfId="2" applyFont="1" applyFill="1" applyBorder="1" applyAlignment="1" applyProtection="1">
      <alignment horizontal="center" vertical="center" wrapText="1"/>
      <protection hidden="1"/>
    </xf>
    <xf numFmtId="166" fontId="3" fillId="2" borderId="1" xfId="2" applyNumberFormat="1" applyFill="1" applyBorder="1" applyAlignment="1" applyProtection="1">
      <alignment horizontal="center" vertical="center"/>
      <protection hidden="1"/>
    </xf>
    <xf numFmtId="1" fontId="13" fillId="2" borderId="0" xfId="3" applyNumberFormat="1" applyFont="1" applyFill="1" applyAlignment="1" applyProtection="1">
      <alignment vertical="center" wrapText="1"/>
      <protection hidden="1"/>
    </xf>
    <xf numFmtId="0" fontId="11" fillId="2" borderId="0" xfId="2" applyFont="1" applyFill="1" applyAlignment="1" applyProtection="1">
      <alignment horizontal="center"/>
      <protection hidden="1"/>
    </xf>
    <xf numFmtId="0" fontId="11" fillId="0" borderId="0" xfId="2" applyFont="1" applyAlignment="1" applyProtection="1">
      <alignment horizontal="center"/>
      <protection hidden="1"/>
    </xf>
    <xf numFmtId="0" fontId="3" fillId="0" borderId="0" xfId="2" applyAlignment="1" applyProtection="1">
      <alignment horizontal="center"/>
      <protection hidden="1"/>
    </xf>
    <xf numFmtId="2" fontId="3" fillId="0" borderId="0" xfId="2" applyNumberFormat="1" applyAlignment="1" applyProtection="1">
      <alignment horizontal="center"/>
      <protection hidden="1"/>
    </xf>
    <xf numFmtId="2" fontId="11" fillId="2" borderId="0" xfId="2" applyNumberFormat="1" applyFont="1" applyFill="1" applyAlignment="1" applyProtection="1">
      <alignment horizontal="center"/>
      <protection hidden="1"/>
    </xf>
    <xf numFmtId="2" fontId="3" fillId="2" borderId="1" xfId="5" applyNumberFormat="1" applyFill="1" applyBorder="1" applyAlignment="1" applyProtection="1">
      <alignment horizontal="center" vertical="center"/>
      <protection hidden="1"/>
    </xf>
    <xf numFmtId="167" fontId="3" fillId="2" borderId="1" xfId="2" applyNumberFormat="1" applyFill="1" applyBorder="1" applyAlignment="1" applyProtection="1">
      <alignment horizontal="center" vertical="center"/>
      <protection hidden="1"/>
    </xf>
    <xf numFmtId="166" fontId="3" fillId="2" borderId="1" xfId="3" applyNumberFormat="1" applyFill="1" applyBorder="1" applyAlignment="1" applyProtection="1">
      <alignment horizontal="center" vertical="center"/>
      <protection hidden="1"/>
    </xf>
    <xf numFmtId="2" fontId="2" fillId="2" borderId="1" xfId="3" applyNumberFormat="1" applyFont="1" applyFill="1" applyBorder="1" applyAlignment="1" applyProtection="1">
      <alignment horizontal="center" vertical="center"/>
      <protection hidden="1"/>
    </xf>
    <xf numFmtId="0" fontId="42" fillId="0" borderId="22" xfId="0" applyFont="1" applyBorder="1" applyAlignment="1" applyProtection="1">
      <alignment horizontal="center" vertical="center" wrapText="1"/>
      <protection hidden="1"/>
    </xf>
    <xf numFmtId="0" fontId="12" fillId="2" borderId="0" xfId="2" applyFont="1" applyFill="1" applyProtection="1">
      <protection hidden="1"/>
    </xf>
    <xf numFmtId="0" fontId="42" fillId="0" borderId="7" xfId="0" applyFont="1" applyBorder="1" applyAlignment="1" applyProtection="1">
      <alignment horizontal="center" vertical="center" wrapText="1"/>
      <protection hidden="1"/>
    </xf>
    <xf numFmtId="169" fontId="12" fillId="0" borderId="0" xfId="0" applyNumberFormat="1" applyFont="1" applyAlignment="1" applyProtection="1">
      <alignment horizontal="center" vertical="center"/>
      <protection hidden="1"/>
    </xf>
    <xf numFmtId="1" fontId="12" fillId="2" borderId="0" xfId="3" applyNumberFormat="1" applyFont="1" applyFill="1" applyAlignment="1" applyProtection="1">
      <alignment horizontal="center" vertical="center"/>
      <protection hidden="1"/>
    </xf>
    <xf numFmtId="166" fontId="12" fillId="2" borderId="0" xfId="3" applyNumberFormat="1" applyFont="1" applyFill="1" applyAlignment="1" applyProtection="1">
      <alignment horizontal="center" vertical="center"/>
      <protection hidden="1"/>
    </xf>
    <xf numFmtId="0" fontId="42" fillId="0" borderId="0" xfId="0" applyFont="1" applyAlignment="1" applyProtection="1">
      <alignment horizontal="center" vertical="center" wrapText="1"/>
      <protection hidden="1"/>
    </xf>
    <xf numFmtId="166" fontId="43" fillId="0" borderId="0" xfId="0" applyNumberFormat="1" applyFont="1" applyAlignment="1" applyProtection="1">
      <alignment horizontal="center" vertical="center" wrapText="1"/>
      <protection hidden="1"/>
    </xf>
    <xf numFmtId="0" fontId="42" fillId="0" borderId="23" xfId="0" applyFont="1" applyBorder="1" applyAlignment="1" applyProtection="1">
      <alignment horizontal="center" vertical="center" wrapText="1"/>
      <protection hidden="1"/>
    </xf>
    <xf numFmtId="169" fontId="12" fillId="2" borderId="23" xfId="3" applyNumberFormat="1" applyFont="1" applyFill="1" applyBorder="1" applyAlignment="1" applyProtection="1">
      <alignment horizontal="center" vertical="center"/>
      <protection hidden="1"/>
    </xf>
    <xf numFmtId="1" fontId="12" fillId="2" borderId="23" xfId="3" applyNumberFormat="1" applyFont="1" applyFill="1" applyBorder="1" applyAlignment="1" applyProtection="1">
      <alignment horizontal="center" vertical="center"/>
      <protection hidden="1"/>
    </xf>
    <xf numFmtId="1" fontId="3" fillId="2" borderId="0" xfId="3" applyNumberFormat="1" applyFill="1" applyAlignment="1" applyProtection="1">
      <alignment horizontal="center" vertical="center"/>
      <protection hidden="1"/>
    </xf>
    <xf numFmtId="0" fontId="18" fillId="0" borderId="1" xfId="0" applyFont="1" applyBorder="1" applyAlignment="1" applyProtection="1">
      <alignment horizontal="center" vertical="center" wrapText="1"/>
      <protection hidden="1"/>
    </xf>
    <xf numFmtId="166" fontId="11" fillId="0" borderId="1" xfId="0" applyNumberFormat="1" applyFont="1" applyBorder="1" applyAlignment="1" applyProtection="1">
      <alignment horizontal="center" vertical="center" wrapText="1"/>
      <protection hidden="1"/>
    </xf>
    <xf numFmtId="0" fontId="11" fillId="0" borderId="1" xfId="0" applyFont="1" applyBorder="1" applyAlignment="1" applyProtection="1">
      <alignment horizontal="center" vertical="center" wrapText="1"/>
      <protection hidden="1"/>
    </xf>
    <xf numFmtId="171" fontId="11" fillId="0" borderId="1" xfId="0" applyNumberFormat="1" applyFont="1" applyBorder="1" applyAlignment="1" applyProtection="1">
      <alignment horizontal="center" vertical="center" wrapText="1"/>
      <protection hidden="1"/>
    </xf>
    <xf numFmtId="0" fontId="3" fillId="3" borderId="0" xfId="3" applyFill="1" applyProtection="1">
      <protection hidden="1"/>
    </xf>
    <xf numFmtId="0" fontId="3" fillId="0" borderId="0" xfId="3" applyProtection="1">
      <protection hidden="1"/>
    </xf>
    <xf numFmtId="0" fontId="17" fillId="2" borderId="0" xfId="2" applyFont="1" applyFill="1" applyAlignment="1" applyProtection="1">
      <alignment horizontal="left" vertical="center"/>
      <protection hidden="1"/>
    </xf>
    <xf numFmtId="0" fontId="2" fillId="2" borderId="0" xfId="2" applyFont="1" applyFill="1" applyAlignment="1" applyProtection="1">
      <alignment vertical="center"/>
      <protection hidden="1"/>
    </xf>
    <xf numFmtId="0" fontId="2" fillId="2" borderId="0" xfId="2" applyFont="1" applyFill="1" applyAlignment="1" applyProtection="1">
      <alignment horizontal="center" vertical="center"/>
      <protection hidden="1"/>
    </xf>
    <xf numFmtId="0" fontId="1" fillId="0" borderId="0" xfId="7" applyAlignment="1" applyProtection="1">
      <alignment horizontal="center"/>
      <protection hidden="1"/>
    </xf>
    <xf numFmtId="0" fontId="29" fillId="10" borderId="2" xfId="2" applyFont="1" applyFill="1" applyBorder="1" applyAlignment="1" applyProtection="1">
      <alignment horizontal="center" vertical="center" wrapText="1"/>
      <protection hidden="1"/>
    </xf>
    <xf numFmtId="0" fontId="33" fillId="10" borderId="1" xfId="2" applyFont="1" applyFill="1" applyBorder="1" applyAlignment="1" applyProtection="1">
      <alignment horizontal="center" vertical="center" wrapText="1"/>
      <protection hidden="1"/>
    </xf>
    <xf numFmtId="0" fontId="3" fillId="0" borderId="0" xfId="3" applyAlignment="1" applyProtection="1">
      <alignment vertical="center"/>
      <protection hidden="1"/>
    </xf>
    <xf numFmtId="0" fontId="30" fillId="2" borderId="0" xfId="2" applyFont="1" applyFill="1" applyAlignment="1" applyProtection="1">
      <alignment vertical="center"/>
      <protection hidden="1"/>
    </xf>
    <xf numFmtId="0" fontId="1" fillId="2" borderId="1" xfId="7" applyFill="1" applyBorder="1" applyAlignment="1" applyProtection="1">
      <alignment horizontal="center" vertical="center"/>
      <protection hidden="1"/>
    </xf>
    <xf numFmtId="0" fontId="30" fillId="4" borderId="0" xfId="2" applyFont="1" applyFill="1" applyAlignment="1" applyProtection="1">
      <alignment horizontal="center" vertical="center"/>
      <protection hidden="1"/>
    </xf>
    <xf numFmtId="166" fontId="30" fillId="4" borderId="0" xfId="2" applyNumberFormat="1" applyFont="1" applyFill="1" applyAlignment="1" applyProtection="1">
      <alignment horizontal="center" vertical="center"/>
      <protection hidden="1"/>
    </xf>
    <xf numFmtId="167" fontId="30" fillId="4" borderId="0" xfId="2" applyNumberFormat="1" applyFont="1" applyFill="1" applyAlignment="1" applyProtection="1">
      <alignment horizontal="center" vertical="center"/>
      <protection hidden="1"/>
    </xf>
    <xf numFmtId="0" fontId="30" fillId="4" borderId="0" xfId="2" applyFont="1" applyFill="1" applyAlignment="1" applyProtection="1">
      <alignment horizontal="left" vertical="center"/>
      <protection hidden="1"/>
    </xf>
    <xf numFmtId="0" fontId="3" fillId="3" borderId="0" xfId="3" applyFill="1" applyAlignment="1" applyProtection="1">
      <alignment vertical="center"/>
      <protection hidden="1"/>
    </xf>
    <xf numFmtId="0" fontId="3" fillId="3" borderId="0" xfId="3" applyFill="1" applyAlignment="1" applyProtection="1">
      <alignment horizontal="center" vertical="center"/>
      <protection hidden="1"/>
    </xf>
    <xf numFmtId="0" fontId="3" fillId="0" borderId="1" xfId="2" applyBorder="1" applyAlignment="1" applyProtection="1">
      <alignment horizontal="center" vertical="center"/>
      <protection hidden="1"/>
    </xf>
    <xf numFmtId="167" fontId="3" fillId="3" borderId="14" xfId="3" applyNumberFormat="1" applyFill="1" applyBorder="1" applyAlignment="1" applyProtection="1">
      <alignment horizontal="center" vertical="center"/>
      <protection hidden="1"/>
    </xf>
    <xf numFmtId="0" fontId="3" fillId="2" borderId="0" xfId="2" applyFill="1" applyAlignment="1" applyProtection="1">
      <alignment horizontal="left" vertical="center"/>
      <protection hidden="1"/>
    </xf>
    <xf numFmtId="0" fontId="3" fillId="3" borderId="0" xfId="3" applyFill="1" applyAlignment="1" applyProtection="1">
      <alignment horizontal="center"/>
      <protection hidden="1"/>
    </xf>
    <xf numFmtId="0" fontId="31" fillId="2" borderId="0" xfId="2" applyFont="1" applyFill="1" applyAlignment="1" applyProtection="1">
      <alignment horizontal="left" vertical="center"/>
      <protection hidden="1"/>
    </xf>
    <xf numFmtId="0" fontId="2" fillId="0" borderId="0" xfId="2" applyFont="1" applyAlignment="1" applyProtection="1">
      <alignment horizontal="right"/>
      <protection hidden="1"/>
    </xf>
    <xf numFmtId="0" fontId="3" fillId="10" borderId="1" xfId="2" applyFill="1" applyBorder="1" applyAlignment="1" applyProtection="1">
      <alignment horizontal="right" vertical="center"/>
      <protection hidden="1"/>
    </xf>
    <xf numFmtId="0" fontId="20" fillId="2" borderId="0" xfId="2" applyFont="1" applyFill="1" applyAlignment="1" applyProtection="1">
      <alignment horizontal="center" vertical="center"/>
      <protection hidden="1"/>
    </xf>
    <xf numFmtId="0" fontId="13" fillId="2" borderId="0" xfId="2" applyFont="1" applyFill="1" applyAlignment="1" applyProtection="1">
      <alignment horizontal="right"/>
      <protection hidden="1"/>
    </xf>
    <xf numFmtId="0" fontId="22" fillId="2" borderId="0" xfId="2" applyFont="1" applyFill="1" applyAlignment="1" applyProtection="1">
      <alignment horizontal="center"/>
      <protection hidden="1"/>
    </xf>
    <xf numFmtId="0" fontId="3" fillId="0" borderId="0" xfId="2" applyAlignment="1" applyProtection="1">
      <alignment vertical="center" wrapText="1"/>
      <protection hidden="1"/>
    </xf>
    <xf numFmtId="0" fontId="15" fillId="2" borderId="0" xfId="2" applyFont="1" applyFill="1" applyAlignment="1" applyProtection="1">
      <alignment horizontal="right" vertical="center"/>
      <protection hidden="1"/>
    </xf>
    <xf numFmtId="0" fontId="15" fillId="2" borderId="0" xfId="2" applyFont="1" applyFill="1" applyAlignment="1" applyProtection="1">
      <alignment horizontal="left" vertical="center"/>
      <protection hidden="1"/>
    </xf>
    <xf numFmtId="0" fontId="15" fillId="2" borderId="0" xfId="2" applyFont="1" applyFill="1" applyAlignment="1" applyProtection="1">
      <alignment vertical="center"/>
      <protection hidden="1"/>
    </xf>
    <xf numFmtId="0" fontId="15" fillId="0" borderId="0" xfId="2" applyFont="1" applyAlignment="1" applyProtection="1">
      <alignment horizontal="right" vertical="center" wrapText="1"/>
      <protection hidden="1"/>
    </xf>
    <xf numFmtId="0" fontId="15" fillId="0" borderId="0" xfId="2" applyFont="1" applyAlignment="1" applyProtection="1">
      <alignment vertical="center" wrapText="1"/>
      <protection hidden="1"/>
    </xf>
    <xf numFmtId="167" fontId="2" fillId="0" borderId="0" xfId="2" applyNumberFormat="1" applyFont="1" applyAlignment="1" applyProtection="1">
      <alignment horizontal="center"/>
      <protection hidden="1"/>
    </xf>
    <xf numFmtId="164" fontId="11" fillId="2" borderId="1" xfId="2" applyNumberFormat="1" applyFont="1" applyFill="1" applyBorder="1" applyAlignment="1" applyProtection="1">
      <alignment horizontal="center" vertical="center"/>
      <protection hidden="1"/>
    </xf>
    <xf numFmtId="0" fontId="2" fillId="2" borderId="0" xfId="2" applyFont="1" applyFill="1" applyAlignment="1" applyProtection="1">
      <alignment horizontal="left"/>
      <protection hidden="1"/>
    </xf>
    <xf numFmtId="0" fontId="2" fillId="0" borderId="0" xfId="2" applyFont="1" applyAlignment="1" applyProtection="1">
      <alignment horizontal="center"/>
      <protection hidden="1"/>
    </xf>
    <xf numFmtId="0" fontId="2" fillId="0" borderId="0" xfId="2" applyFont="1" applyProtection="1">
      <protection hidden="1"/>
    </xf>
    <xf numFmtId="0" fontId="20" fillId="2" borderId="0" xfId="2" applyFont="1" applyFill="1" applyAlignment="1" applyProtection="1">
      <alignment horizontal="center"/>
      <protection hidden="1"/>
    </xf>
    <xf numFmtId="0" fontId="11" fillId="2" borderId="2" xfId="2" applyFont="1" applyFill="1" applyBorder="1" applyAlignment="1" applyProtection="1">
      <alignment horizontal="center" vertical="center" wrapText="1"/>
      <protection hidden="1"/>
    </xf>
    <xf numFmtId="1" fontId="3" fillId="2" borderId="13" xfId="2" applyNumberFormat="1" applyFill="1" applyBorder="1" applyAlignment="1" applyProtection="1">
      <alignment horizontal="center" vertical="center"/>
      <protection hidden="1"/>
    </xf>
    <xf numFmtId="0" fontId="3" fillId="0" borderId="0" xfId="2" applyAlignment="1" applyProtection="1">
      <alignment horizontal="left" vertical="center" wrapText="1"/>
      <protection hidden="1"/>
    </xf>
    <xf numFmtId="0" fontId="15" fillId="2" borderId="0" xfId="2" applyFont="1" applyFill="1" applyProtection="1">
      <protection hidden="1"/>
    </xf>
    <xf numFmtId="167" fontId="11" fillId="2" borderId="1" xfId="2" applyNumberFormat="1" applyFont="1" applyFill="1" applyBorder="1" applyAlignment="1" applyProtection="1">
      <alignment horizontal="center" vertical="center"/>
      <protection hidden="1"/>
    </xf>
    <xf numFmtId="0" fontId="11" fillId="2" borderId="0" xfId="2" applyFont="1" applyFill="1" applyAlignment="1" applyProtection="1">
      <alignment horizontal="center" vertical="center" wrapText="1"/>
      <protection hidden="1"/>
    </xf>
    <xf numFmtId="167" fontId="11" fillId="2" borderId="0" xfId="2" applyNumberFormat="1" applyFont="1" applyFill="1" applyAlignment="1" applyProtection="1">
      <alignment horizontal="center" vertical="center"/>
      <protection hidden="1"/>
    </xf>
    <xf numFmtId="0" fontId="3" fillId="0" borderId="0" xfId="2" applyAlignment="1" applyProtection="1">
      <alignment horizontal="center" vertical="center" wrapText="1"/>
      <protection hidden="1"/>
    </xf>
    <xf numFmtId="0" fontId="3" fillId="2" borderId="0" xfId="2" applyFill="1" applyAlignment="1" applyProtection="1">
      <alignment horizontal="left"/>
      <protection hidden="1"/>
    </xf>
    <xf numFmtId="0" fontId="3" fillId="0" borderId="4" xfId="2" applyBorder="1" applyProtection="1">
      <protection hidden="1"/>
    </xf>
    <xf numFmtId="0" fontId="3" fillId="7" borderId="0" xfId="2" applyFill="1" applyProtection="1">
      <protection hidden="1"/>
    </xf>
    <xf numFmtId="0" fontId="2" fillId="2" borderId="0" xfId="2" applyFont="1" applyFill="1" applyProtection="1">
      <protection hidden="1"/>
    </xf>
    <xf numFmtId="0" fontId="3" fillId="7" borderId="0" xfId="2" applyFill="1" applyAlignment="1" applyProtection="1">
      <alignment horizontal="left"/>
      <protection hidden="1"/>
    </xf>
    <xf numFmtId="0" fontId="3" fillId="7" borderId="0" xfId="2" applyFill="1" applyAlignment="1" applyProtection="1">
      <alignment horizontal="center"/>
      <protection hidden="1"/>
    </xf>
    <xf numFmtId="0" fontId="2" fillId="2" borderId="0" xfId="3" applyFont="1" applyFill="1" applyAlignment="1" applyProtection="1">
      <alignment vertical="center"/>
      <protection hidden="1"/>
    </xf>
    <xf numFmtId="0" fontId="2" fillId="6" borderId="12" xfId="3" applyFont="1" applyFill="1" applyBorder="1" applyAlignment="1" applyProtection="1">
      <alignment horizontal="center" vertical="center" wrapText="1"/>
      <protection hidden="1"/>
    </xf>
    <xf numFmtId="0" fontId="2" fillId="20" borderId="1" xfId="3" applyFont="1" applyFill="1" applyBorder="1" applyAlignment="1" applyProtection="1">
      <alignment horizontal="center" vertical="center" wrapText="1"/>
      <protection hidden="1"/>
    </xf>
    <xf numFmtId="0" fontId="2" fillId="6" borderId="2" xfId="3" applyFont="1" applyFill="1" applyBorder="1" applyAlignment="1" applyProtection="1">
      <alignment horizontal="center" vertical="center" wrapText="1"/>
      <protection hidden="1"/>
    </xf>
    <xf numFmtId="164" fontId="3" fillId="2" borderId="0" xfId="2" applyNumberFormat="1" applyFill="1" applyAlignment="1" applyProtection="1">
      <alignment horizontal="center" vertical="center"/>
      <protection hidden="1"/>
    </xf>
    <xf numFmtId="166" fontId="3" fillId="2" borderId="0" xfId="2" applyNumberFormat="1" applyFill="1" applyAlignment="1" applyProtection="1">
      <alignment horizontal="center" vertical="center"/>
      <protection hidden="1"/>
    </xf>
    <xf numFmtId="0" fontId="30" fillId="2" borderId="0" xfId="2" applyFont="1" applyFill="1" applyAlignment="1" applyProtection="1">
      <alignment vertical="center" wrapText="1"/>
      <protection hidden="1"/>
    </xf>
    <xf numFmtId="0" fontId="2" fillId="6" borderId="6" xfId="3" applyFont="1" applyFill="1" applyBorder="1" applyAlignment="1" applyProtection="1">
      <alignment horizontal="center" vertical="center" wrapText="1"/>
      <protection hidden="1"/>
    </xf>
    <xf numFmtId="167" fontId="15" fillId="2" borderId="14" xfId="2" applyNumberFormat="1" applyFont="1" applyFill="1" applyBorder="1" applyAlignment="1" applyProtection="1">
      <alignment horizontal="center"/>
      <protection hidden="1"/>
    </xf>
    <xf numFmtId="0" fontId="15" fillId="0" borderId="1" xfId="2" applyFont="1" applyBorder="1" applyAlignment="1" applyProtection="1">
      <alignment horizontal="center" vertical="center"/>
      <protection hidden="1"/>
    </xf>
    <xf numFmtId="164" fontId="15" fillId="2" borderId="5" xfId="2" applyNumberFormat="1" applyFont="1" applyFill="1" applyBorder="1" applyAlignment="1" applyProtection="1">
      <alignment horizontal="center"/>
      <protection hidden="1"/>
    </xf>
    <xf numFmtId="2" fontId="13" fillId="2" borderId="1" xfId="3" applyNumberFormat="1" applyFont="1" applyFill="1" applyBorder="1" applyAlignment="1" applyProtection="1">
      <alignment horizontal="center" vertical="center"/>
      <protection hidden="1"/>
    </xf>
    <xf numFmtId="10" fontId="15" fillId="2" borderId="1" xfId="8" applyNumberFormat="1" applyFont="1" applyFill="1" applyBorder="1" applyAlignment="1" applyProtection="1">
      <alignment horizontal="center" vertical="center"/>
      <protection hidden="1"/>
    </xf>
    <xf numFmtId="11" fontId="15" fillId="0" borderId="14" xfId="2" applyNumberFormat="1" applyFont="1" applyBorder="1" applyAlignment="1" applyProtection="1">
      <alignment horizontal="center" vertical="center"/>
      <protection hidden="1"/>
    </xf>
    <xf numFmtId="169" fontId="15" fillId="0" borderId="14" xfId="2" applyNumberFormat="1" applyFont="1" applyBorder="1" applyAlignment="1" applyProtection="1">
      <alignment horizontal="center" vertical="center"/>
      <protection hidden="1"/>
    </xf>
    <xf numFmtId="169" fontId="15" fillId="2" borderId="14" xfId="2" applyNumberFormat="1" applyFont="1" applyFill="1" applyBorder="1" applyAlignment="1" applyProtection="1">
      <alignment horizontal="center" vertical="center"/>
      <protection hidden="1"/>
    </xf>
    <xf numFmtId="2" fontId="15" fillId="2" borderId="1" xfId="2" applyNumberFormat="1" applyFont="1" applyFill="1" applyBorder="1" applyAlignment="1" applyProtection="1">
      <alignment horizontal="center" vertical="center"/>
      <protection hidden="1"/>
    </xf>
    <xf numFmtId="2" fontId="15" fillId="0" borderId="1" xfId="2" applyNumberFormat="1" applyFont="1" applyBorder="1" applyAlignment="1" applyProtection="1">
      <alignment horizontal="center" vertical="center"/>
      <protection hidden="1"/>
    </xf>
    <xf numFmtId="0" fontId="2" fillId="2" borderId="3" xfId="3" applyFont="1" applyFill="1" applyBorder="1" applyAlignment="1" applyProtection="1">
      <alignment vertical="center" wrapText="1"/>
      <protection hidden="1"/>
    </xf>
    <xf numFmtId="0" fontId="2" fillId="2" borderId="5" xfId="3" applyFont="1" applyFill="1" applyBorder="1" applyAlignment="1" applyProtection="1">
      <alignment vertical="center" wrapText="1"/>
      <protection hidden="1"/>
    </xf>
    <xf numFmtId="2" fontId="2" fillId="12" borderId="1" xfId="2" applyNumberFormat="1" applyFont="1" applyFill="1" applyBorder="1" applyAlignment="1" applyProtection="1">
      <alignment horizontal="center" vertical="center" wrapText="1"/>
      <protection hidden="1"/>
    </xf>
    <xf numFmtId="0" fontId="13" fillId="9" borderId="1" xfId="2" applyFont="1" applyFill="1" applyBorder="1" applyAlignment="1" applyProtection="1">
      <alignment horizontal="center" vertical="center"/>
      <protection hidden="1"/>
    </xf>
    <xf numFmtId="0" fontId="13" fillId="9" borderId="1" xfId="2" applyFont="1" applyFill="1" applyBorder="1" applyAlignment="1" applyProtection="1">
      <alignment horizontal="center" vertical="center" wrapText="1"/>
      <protection hidden="1"/>
    </xf>
    <xf numFmtId="164" fontId="2" fillId="12" borderId="12" xfId="2" applyNumberFormat="1" applyFont="1" applyFill="1" applyBorder="1" applyAlignment="1" applyProtection="1">
      <alignment horizontal="center" vertical="center" wrapText="1"/>
      <protection hidden="1"/>
    </xf>
    <xf numFmtId="2" fontId="2" fillId="12" borderId="12" xfId="2" applyNumberFormat="1" applyFont="1" applyFill="1" applyBorder="1" applyAlignment="1" applyProtection="1">
      <alignment horizontal="center" vertical="center" wrapText="1"/>
      <protection hidden="1"/>
    </xf>
    <xf numFmtId="2" fontId="3" fillId="9" borderId="0" xfId="2" applyNumberFormat="1" applyFill="1" applyProtection="1">
      <protection hidden="1"/>
    </xf>
    <xf numFmtId="173" fontId="15" fillId="2" borderId="1" xfId="2" applyNumberFormat="1" applyFont="1" applyFill="1" applyBorder="1" applyAlignment="1" applyProtection="1">
      <alignment horizontal="left" vertical="center"/>
      <protection hidden="1"/>
    </xf>
    <xf numFmtId="11" fontId="15" fillId="2" borderId="1" xfId="2" applyNumberFormat="1" applyFont="1" applyFill="1" applyBorder="1" applyAlignment="1" applyProtection="1">
      <alignment horizontal="left" vertical="center"/>
      <protection hidden="1"/>
    </xf>
    <xf numFmtId="167" fontId="15" fillId="2" borderId="1" xfId="3" applyNumberFormat="1" applyFont="1" applyFill="1" applyBorder="1" applyAlignment="1" applyProtection="1">
      <alignment horizontal="left" vertical="center" wrapText="1"/>
      <protection hidden="1"/>
    </xf>
    <xf numFmtId="0" fontId="2" fillId="25" borderId="1" xfId="0" applyFont="1" applyFill="1" applyBorder="1" applyAlignment="1" applyProtection="1">
      <alignment horizontal="center" vertical="center" wrapText="1"/>
      <protection hidden="1"/>
    </xf>
    <xf numFmtId="0" fontId="2" fillId="25" borderId="2" xfId="0" applyFont="1" applyFill="1" applyBorder="1" applyAlignment="1" applyProtection="1">
      <alignment horizontal="center" vertical="center" wrapText="1"/>
      <protection hidden="1"/>
    </xf>
    <xf numFmtId="0" fontId="29" fillId="10" borderId="1" xfId="2" applyFont="1" applyFill="1" applyBorder="1" applyAlignment="1" applyProtection="1">
      <alignment horizontal="center" vertical="center" wrapText="1"/>
      <protection hidden="1"/>
    </xf>
    <xf numFmtId="0" fontId="3" fillId="2" borderId="1" xfId="2" applyFill="1" applyBorder="1" applyAlignment="1" applyProtection="1">
      <alignment horizontal="center" vertical="center"/>
      <protection hidden="1"/>
    </xf>
    <xf numFmtId="0" fontId="2" fillId="6" borderId="1" xfId="3" applyFont="1" applyFill="1" applyBorder="1" applyAlignment="1" applyProtection="1">
      <alignment horizontal="center" vertical="center" wrapText="1"/>
      <protection hidden="1"/>
    </xf>
    <xf numFmtId="0" fontId="2" fillId="2" borderId="1" xfId="2" applyFont="1" applyFill="1" applyBorder="1" applyAlignment="1" applyProtection="1">
      <alignment horizontal="center" vertical="center"/>
      <protection hidden="1"/>
    </xf>
    <xf numFmtId="0" fontId="5" fillId="0" borderId="1" xfId="0" applyFont="1" applyBorder="1" applyAlignment="1">
      <alignment vertical="top" wrapText="1"/>
    </xf>
    <xf numFmtId="0" fontId="6" fillId="0" borderId="1" xfId="0" applyFont="1" applyBorder="1" applyAlignment="1">
      <alignment horizontal="center" vertical="center"/>
    </xf>
    <xf numFmtId="0" fontId="4" fillId="3" borderId="0" xfId="0" applyFont="1" applyFill="1"/>
    <xf numFmtId="49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170" fontId="5" fillId="0" borderId="1" xfId="0" applyNumberFormat="1" applyFont="1" applyBorder="1" applyAlignment="1">
      <alignment horizontal="center" vertical="center" wrapText="1"/>
    </xf>
    <xf numFmtId="0" fontId="3" fillId="2" borderId="0" xfId="0" applyFont="1" applyFill="1"/>
    <xf numFmtId="0" fontId="3" fillId="0" borderId="0" xfId="0" applyFont="1"/>
    <xf numFmtId="0" fontId="3" fillId="2" borderId="0" xfId="0" applyFont="1" applyFill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18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167" fontId="2" fillId="0" borderId="9" xfId="0" applyNumberFormat="1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left" vertical="center"/>
    </xf>
    <xf numFmtId="168" fontId="2" fillId="0" borderId="0" xfId="0" applyNumberFormat="1" applyFont="1" applyAlignment="1">
      <alignment horizontal="center" vertical="center"/>
    </xf>
    <xf numFmtId="0" fontId="2" fillId="0" borderId="9" xfId="0" applyFont="1" applyBorder="1" applyAlignment="1">
      <alignment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left" vertical="center"/>
    </xf>
    <xf numFmtId="0" fontId="2" fillId="2" borderId="10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right" vertical="center"/>
    </xf>
    <xf numFmtId="168" fontId="2" fillId="0" borderId="11" xfId="0" applyNumberFormat="1" applyFont="1" applyBorder="1" applyAlignment="1">
      <alignment horizontal="center" vertical="center"/>
    </xf>
    <xf numFmtId="0" fontId="2" fillId="0" borderId="15" xfId="0" applyFont="1" applyBorder="1" applyAlignment="1">
      <alignment vertical="center" wrapText="1"/>
    </xf>
    <xf numFmtId="0" fontId="3" fillId="0" borderId="10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8" fillId="0" borderId="0" xfId="0" applyFont="1" applyAlignment="1">
      <alignment vertical="center" wrapText="1"/>
    </xf>
    <xf numFmtId="0" fontId="14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2" fillId="0" borderId="0" xfId="0" quotePrefix="1" applyFont="1" applyAlignment="1">
      <alignment horizontal="left" vertical="center"/>
    </xf>
    <xf numFmtId="0" fontId="2" fillId="2" borderId="0" xfId="0" quotePrefix="1" applyFont="1" applyFill="1" applyAlignment="1">
      <alignment horizontal="left" vertical="center"/>
    </xf>
    <xf numFmtId="0" fontId="18" fillId="0" borderId="0" xfId="0" quotePrefix="1" applyFont="1" applyAlignment="1">
      <alignment horizontal="left" vertical="center"/>
    </xf>
    <xf numFmtId="0" fontId="13" fillId="19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164" fontId="3" fillId="2" borderId="1" xfId="0" quotePrefix="1" applyNumberFormat="1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2" borderId="1" xfId="0" quotePrefix="1" applyFon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19" borderId="1" xfId="0" applyFont="1" applyFill="1" applyBorder="1" applyAlignment="1">
      <alignment horizontal="center" vertical="center" wrapText="1"/>
    </xf>
    <xf numFmtId="0" fontId="2" fillId="19" borderId="1" xfId="0" applyFont="1" applyFill="1" applyBorder="1" applyAlignment="1">
      <alignment horizontal="center" vertical="center" wrapText="1"/>
    </xf>
    <xf numFmtId="1" fontId="3" fillId="2" borderId="1" xfId="0" quotePrefix="1" applyNumberFormat="1" applyFont="1" applyFill="1" applyBorder="1" applyAlignment="1">
      <alignment horizontal="center" vertical="center"/>
    </xf>
    <xf numFmtId="167" fontId="3" fillId="2" borderId="1" xfId="0" quotePrefix="1" applyNumberFormat="1" applyFont="1" applyFill="1" applyBorder="1" applyAlignment="1">
      <alignment horizontal="center" vertical="center"/>
    </xf>
    <xf numFmtId="0" fontId="2" fillId="19" borderId="1" xfId="0" applyFont="1" applyFill="1" applyBorder="1" applyAlignment="1">
      <alignment horizontal="center" vertical="center"/>
    </xf>
    <xf numFmtId="167" fontId="3" fillId="2" borderId="1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>
      <alignment horizontal="center" vertical="center"/>
    </xf>
    <xf numFmtId="2" fontId="2" fillId="8" borderId="1" xfId="0" applyNumberFormat="1" applyFont="1" applyFill="1" applyBorder="1" applyAlignment="1">
      <alignment horizontal="center" vertical="center"/>
    </xf>
    <xf numFmtId="0" fontId="2" fillId="19" borderId="1" xfId="0" quotePrefix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5" fontId="2" fillId="19" borderId="1" xfId="0" quotePrefix="1" applyNumberFormat="1" applyFont="1" applyFill="1" applyBorder="1" applyAlignment="1">
      <alignment horizontal="center" vertical="center"/>
    </xf>
    <xf numFmtId="165" fontId="3" fillId="2" borderId="1" xfId="0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vertical="top" wrapText="1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vertical="center" wrapText="1"/>
    </xf>
    <xf numFmtId="49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0" fontId="47" fillId="22" borderId="0" xfId="0" applyFont="1" applyFill="1" applyAlignment="1">
      <alignment vertical="center"/>
    </xf>
    <xf numFmtId="0" fontId="3" fillId="2" borderId="0" xfId="2" applyFill="1"/>
    <xf numFmtId="0" fontId="3" fillId="0" borderId="0" xfId="2"/>
    <xf numFmtId="0" fontId="11" fillId="0" borderId="0" xfId="0" applyFont="1"/>
    <xf numFmtId="0" fontId="48" fillId="23" borderId="0" xfId="0" applyFont="1" applyFill="1" applyAlignment="1">
      <alignment vertical="center"/>
    </xf>
    <xf numFmtId="0" fontId="49" fillId="23" borderId="0" xfId="0" applyFont="1" applyFill="1" applyAlignment="1">
      <alignment horizontal="center"/>
    </xf>
    <xf numFmtId="0" fontId="49" fillId="0" borderId="0" xfId="0" applyFont="1"/>
    <xf numFmtId="0" fontId="3" fillId="0" borderId="0" xfId="2" applyAlignment="1">
      <alignment horizontal="center"/>
    </xf>
    <xf numFmtId="0" fontId="50" fillId="0" borderId="0" xfId="0" applyFont="1"/>
    <xf numFmtId="0" fontId="3" fillId="2" borderId="0" xfId="2" applyFill="1" applyAlignment="1">
      <alignment horizontal="center"/>
    </xf>
    <xf numFmtId="0" fontId="17" fillId="2" borderId="0" xfId="2" applyFont="1" applyFill="1" applyAlignment="1">
      <alignment horizontal="left"/>
    </xf>
    <xf numFmtId="0" fontId="13" fillId="11" borderId="1" xfId="2" applyFont="1" applyFill="1" applyBorder="1" applyAlignment="1">
      <alignment horizontal="center" vertical="center"/>
    </xf>
    <xf numFmtId="0" fontId="13" fillId="11" borderId="1" xfId="2" applyFont="1" applyFill="1" applyBorder="1" applyAlignment="1">
      <alignment horizontal="center" vertical="center" wrapText="1"/>
    </xf>
    <xf numFmtId="0" fontId="2" fillId="2" borderId="0" xfId="2" applyFont="1" applyFill="1" applyAlignment="1">
      <alignment horizontal="center" vertical="center" wrapText="1"/>
    </xf>
    <xf numFmtId="164" fontId="2" fillId="12" borderId="1" xfId="2" applyNumberFormat="1" applyFont="1" applyFill="1" applyBorder="1" applyAlignment="1">
      <alignment vertical="center" wrapText="1"/>
    </xf>
    <xf numFmtId="2" fontId="2" fillId="12" borderId="1" xfId="2" applyNumberFormat="1" applyFont="1" applyFill="1" applyBorder="1" applyAlignment="1">
      <alignment horizontal="center" vertical="center" wrapText="1"/>
    </xf>
    <xf numFmtId="164" fontId="2" fillId="12" borderId="1" xfId="2" applyNumberFormat="1" applyFont="1" applyFill="1" applyBorder="1" applyAlignment="1">
      <alignment horizontal="center" vertical="center" wrapText="1"/>
    </xf>
    <xf numFmtId="0" fontId="11" fillId="2" borderId="0" xfId="4" applyFont="1" applyFill="1"/>
    <xf numFmtId="1" fontId="2" fillId="2" borderId="1" xfId="3" applyNumberFormat="1" applyFont="1" applyFill="1" applyBorder="1" applyAlignment="1">
      <alignment horizontal="center" vertical="center"/>
    </xf>
    <xf numFmtId="1" fontId="2" fillId="13" borderId="1" xfId="3" applyNumberFormat="1" applyFont="1" applyFill="1" applyBorder="1" applyAlignment="1">
      <alignment horizontal="center" vertical="center"/>
    </xf>
    <xf numFmtId="1" fontId="3" fillId="2" borderId="1" xfId="3" applyNumberFormat="1" applyFill="1" applyBorder="1" applyAlignment="1">
      <alignment horizontal="center" vertical="center"/>
    </xf>
    <xf numFmtId="2" fontId="3" fillId="13" borderId="1" xfId="5" applyNumberFormat="1" applyFill="1" applyBorder="1" applyAlignment="1">
      <alignment horizontal="center"/>
    </xf>
    <xf numFmtId="2" fontId="3" fillId="14" borderId="16" xfId="2" applyNumberFormat="1" applyFill="1" applyBorder="1" applyAlignment="1">
      <alignment horizontal="center"/>
    </xf>
    <xf numFmtId="2" fontId="3" fillId="2" borderId="0" xfId="2" applyNumberFormat="1" applyFill="1"/>
    <xf numFmtId="0" fontId="3" fillId="2" borderId="0" xfId="2" applyFill="1" applyAlignment="1">
      <alignment horizontal="right" vertical="center"/>
    </xf>
    <xf numFmtId="11" fontId="15" fillId="13" borderId="1" xfId="2" applyNumberFormat="1" applyFont="1" applyFill="1" applyBorder="1" applyAlignment="1">
      <alignment horizontal="left" vertical="center"/>
    </xf>
    <xf numFmtId="1" fontId="3" fillId="2" borderId="0" xfId="3" applyNumberFormat="1" applyFill="1" applyAlignment="1">
      <alignment horizontal="right" vertical="center" wrapText="1"/>
    </xf>
    <xf numFmtId="167" fontId="15" fillId="13" borderId="1" xfId="3" applyNumberFormat="1" applyFont="1" applyFill="1" applyBorder="1" applyAlignment="1">
      <alignment horizontal="left" vertical="center" wrapText="1"/>
    </xf>
    <xf numFmtId="2" fontId="3" fillId="13" borderId="1" xfId="2" applyNumberFormat="1" applyFill="1" applyBorder="1" applyAlignment="1">
      <alignment horizontal="center"/>
    </xf>
    <xf numFmtId="2" fontId="3" fillId="13" borderId="17" xfId="2" applyNumberFormat="1" applyFill="1" applyBorder="1" applyAlignment="1">
      <alignment horizontal="center"/>
    </xf>
    <xf numFmtId="0" fontId="3" fillId="2" borderId="0" xfId="2" applyFill="1" applyAlignment="1">
      <alignment vertical="center"/>
    </xf>
    <xf numFmtId="0" fontId="3" fillId="0" borderId="0" xfId="2" applyAlignment="1">
      <alignment vertical="center"/>
    </xf>
    <xf numFmtId="2" fontId="3" fillId="14" borderId="16" xfId="2" applyNumberFormat="1" applyFill="1" applyBorder="1" applyAlignment="1">
      <alignment horizontal="center" vertical="center"/>
    </xf>
    <xf numFmtId="2" fontId="3" fillId="13" borderId="1" xfId="2" applyNumberFormat="1" applyFill="1" applyBorder="1" applyAlignment="1">
      <alignment horizontal="center" vertical="center"/>
    </xf>
    <xf numFmtId="2" fontId="3" fillId="13" borderId="17" xfId="2" applyNumberFormat="1" applyFill="1" applyBorder="1" applyAlignment="1">
      <alignment horizontal="center" vertical="center"/>
    </xf>
    <xf numFmtId="0" fontId="2" fillId="2" borderId="0" xfId="2" applyFont="1" applyFill="1" applyAlignment="1">
      <alignment horizontal="left" vertical="center"/>
    </xf>
    <xf numFmtId="0" fontId="2" fillId="2" borderId="0" xfId="2" applyFont="1" applyFill="1" applyAlignment="1">
      <alignment vertical="center"/>
    </xf>
    <xf numFmtId="0" fontId="2" fillId="2" borderId="0" xfId="2" applyFont="1" applyFill="1" applyAlignment="1">
      <alignment horizontal="center" vertical="center"/>
    </xf>
    <xf numFmtId="0" fontId="1" fillId="0" borderId="0" xfId="7" applyAlignment="1">
      <alignment horizontal="center"/>
    </xf>
    <xf numFmtId="0" fontId="17" fillId="2" borderId="0" xfId="2" applyFont="1" applyFill="1" applyAlignment="1">
      <alignment horizontal="left" vertical="center"/>
    </xf>
    <xf numFmtId="0" fontId="40" fillId="10" borderId="1" xfId="2" applyFont="1" applyFill="1" applyBorder="1" applyAlignment="1">
      <alignment horizontal="center" vertical="center" wrapText="1"/>
    </xf>
    <xf numFmtId="0" fontId="8" fillId="2" borderId="0" xfId="2" applyFont="1" applyFill="1" applyAlignment="1">
      <alignment horizontal="left" vertical="center"/>
    </xf>
    <xf numFmtId="0" fontId="2" fillId="0" borderId="2" xfId="0" applyFont="1" applyBorder="1" applyAlignment="1">
      <alignment vertical="center" wrapText="1"/>
    </xf>
    <xf numFmtId="0" fontId="2" fillId="0" borderId="3" xfId="0" applyFont="1" applyBorder="1" applyAlignment="1">
      <alignment horizontal="center" vertical="center" wrapText="1"/>
    </xf>
    <xf numFmtId="164" fontId="2" fillId="2" borderId="3" xfId="0" applyNumberFormat="1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10" borderId="1" xfId="2" applyFont="1" applyFill="1" applyBorder="1" applyAlignment="1">
      <alignment horizontal="center" vertical="center" wrapText="1"/>
    </xf>
    <xf numFmtId="0" fontId="2" fillId="0" borderId="0" xfId="2" applyFont="1" applyAlignment="1">
      <alignment horizontal="right"/>
    </xf>
    <xf numFmtId="0" fontId="3" fillId="10" borderId="1" xfId="2" applyFill="1" applyBorder="1" applyAlignment="1">
      <alignment horizontal="right" vertical="center"/>
    </xf>
    <xf numFmtId="0" fontId="20" fillId="2" borderId="0" xfId="2" applyFont="1" applyFill="1" applyAlignment="1">
      <alignment horizontal="center" vertical="center"/>
    </xf>
    <xf numFmtId="0" fontId="3" fillId="3" borderId="0" xfId="3" applyFill="1"/>
    <xf numFmtId="0" fontId="3" fillId="0" borderId="0" xfId="3"/>
    <xf numFmtId="0" fontId="3" fillId="3" borderId="0" xfId="3" applyFill="1" applyAlignment="1">
      <alignment horizontal="center"/>
    </xf>
    <xf numFmtId="0" fontId="31" fillId="2" borderId="0" xfId="2" applyFont="1" applyFill="1" applyAlignment="1">
      <alignment horizontal="left" vertical="center"/>
    </xf>
    <xf numFmtId="0" fontId="3" fillId="2" borderId="0" xfId="2" applyFill="1" applyAlignment="1">
      <alignment horizontal="left" vertical="center"/>
    </xf>
    <xf numFmtId="0" fontId="44" fillId="10" borderId="1" xfId="2" applyFont="1" applyFill="1" applyBorder="1" applyAlignment="1">
      <alignment horizontal="center" vertical="center" wrapText="1"/>
    </xf>
    <xf numFmtId="0" fontId="14" fillId="13" borderId="1" xfId="0" applyFont="1" applyFill="1" applyBorder="1" applyAlignment="1">
      <alignment horizontal="center" vertical="center" wrapText="1"/>
    </xf>
    <xf numFmtId="0" fontId="3" fillId="0" borderId="0" xfId="2" applyAlignment="1">
      <alignment horizontal="left" vertical="center" wrapText="1"/>
    </xf>
    <xf numFmtId="0" fontId="3" fillId="0" borderId="0" xfId="2" applyAlignment="1">
      <alignment horizontal="center" vertical="center" wrapText="1"/>
    </xf>
    <xf numFmtId="0" fontId="15" fillId="2" borderId="0" xfId="2" applyFont="1" applyFill="1" applyAlignment="1">
      <alignment horizontal="right" vertical="center"/>
    </xf>
    <xf numFmtId="0" fontId="15" fillId="2" borderId="0" xfId="2" applyFont="1" applyFill="1" applyAlignment="1">
      <alignment vertical="center"/>
    </xf>
    <xf numFmtId="0" fontId="15" fillId="2" borderId="0" xfId="2" applyFont="1" applyFill="1"/>
    <xf numFmtId="0" fontId="3" fillId="2" borderId="0" xfId="2" applyFill="1" applyAlignment="1">
      <alignment horizontal="left"/>
    </xf>
    <xf numFmtId="0" fontId="3" fillId="0" borderId="4" xfId="2" applyBorder="1"/>
    <xf numFmtId="0" fontId="2" fillId="13" borderId="1" xfId="0" applyFont="1" applyFill="1" applyBorder="1" applyAlignment="1">
      <alignment horizontal="center" vertical="center"/>
    </xf>
    <xf numFmtId="0" fontId="13" fillId="13" borderId="1" xfId="0" applyFont="1" applyFill="1" applyBorder="1" applyAlignment="1">
      <alignment horizontal="center" vertical="center"/>
    </xf>
    <xf numFmtId="0" fontId="11" fillId="2" borderId="0" xfId="2" applyFont="1" applyFill="1" applyAlignment="1">
      <alignment horizontal="center" vertical="center" wrapText="1"/>
    </xf>
    <xf numFmtId="167" fontId="11" fillId="2" borderId="0" xfId="2" applyNumberFormat="1" applyFont="1" applyFill="1" applyAlignment="1">
      <alignment horizontal="center" vertical="center"/>
    </xf>
    <xf numFmtId="0" fontId="15" fillId="2" borderId="0" xfId="2" applyFont="1" applyFill="1" applyAlignment="1">
      <alignment horizontal="left" vertical="center"/>
    </xf>
    <xf numFmtId="0" fontId="52" fillId="0" borderId="0" xfId="0" applyFont="1" applyAlignment="1">
      <alignment vertical="center" wrapText="1"/>
    </xf>
    <xf numFmtId="0" fontId="0" fillId="0" borderId="1" xfId="0" applyBorder="1" applyAlignment="1">
      <alignment horizontal="center" vertical="center"/>
    </xf>
    <xf numFmtId="165" fontId="3" fillId="0" borderId="1" xfId="0" quotePrefix="1" applyNumberFormat="1" applyFont="1" applyBorder="1" applyAlignment="1">
      <alignment horizontal="center" vertical="center"/>
    </xf>
    <xf numFmtId="170" fontId="0" fillId="0" borderId="1" xfId="0" applyNumberFormat="1" applyBorder="1" applyAlignment="1">
      <alignment horizontal="center" vertical="center"/>
    </xf>
    <xf numFmtId="0" fontId="0" fillId="2" borderId="0" xfId="0" applyFill="1"/>
    <xf numFmtId="0" fontId="2" fillId="2" borderId="0" xfId="2" applyFont="1" applyFill="1" applyAlignment="1" applyProtection="1">
      <alignment horizontal="right" vertical="center"/>
      <protection hidden="1"/>
    </xf>
    <xf numFmtId="0" fontId="52" fillId="23" borderId="0" xfId="0" applyFont="1" applyFill="1" applyAlignment="1">
      <alignment horizontal="left" vertical="center" wrapText="1"/>
    </xf>
    <xf numFmtId="0" fontId="54" fillId="23" borderId="0" xfId="0" applyFont="1" applyFill="1" applyAlignment="1">
      <alignment vertical="center" wrapText="1"/>
    </xf>
    <xf numFmtId="0" fontId="54" fillId="23" borderId="9" xfId="0" applyFont="1" applyFill="1" applyBorder="1" applyAlignment="1">
      <alignment vertical="center" wrapText="1"/>
    </xf>
    <xf numFmtId="0" fontId="55" fillId="10" borderId="1" xfId="0" applyFont="1" applyFill="1" applyBorder="1" applyAlignment="1">
      <alignment horizontal="center" vertical="center" wrapText="1"/>
    </xf>
    <xf numFmtId="0" fontId="18" fillId="14" borderId="1" xfId="0" applyFont="1" applyFill="1" applyBorder="1" applyAlignment="1">
      <alignment horizontal="center" vertical="center" wrapText="1"/>
    </xf>
    <xf numFmtId="0" fontId="58" fillId="0" borderId="1" xfId="2" applyFont="1" applyBorder="1" applyAlignment="1" applyProtection="1">
      <alignment horizontal="center" vertical="center"/>
      <protection hidden="1"/>
    </xf>
    <xf numFmtId="0" fontId="58" fillId="0" borderId="1" xfId="2" quotePrefix="1" applyFont="1" applyBorder="1" applyAlignment="1" applyProtection="1">
      <alignment horizontal="center" vertical="center"/>
      <protection hidden="1"/>
    </xf>
    <xf numFmtId="0" fontId="56" fillId="0" borderId="0" xfId="0" applyFont="1" applyAlignment="1">
      <alignment horizontal="center" vertical="center"/>
    </xf>
    <xf numFmtId="0" fontId="57" fillId="0" borderId="0" xfId="0" applyFont="1" applyAlignment="1">
      <alignment horizontal="center" vertical="center" wrapText="1"/>
    </xf>
    <xf numFmtId="0" fontId="11" fillId="23" borderId="0" xfId="0" applyFont="1" applyFill="1"/>
    <xf numFmtId="0" fontId="11" fillId="23" borderId="0" xfId="0" applyFont="1" applyFill="1" applyAlignment="1">
      <alignment horizontal="center"/>
    </xf>
    <xf numFmtId="0" fontId="52" fillId="23" borderId="0" xfId="0" applyFont="1" applyFill="1" applyAlignment="1">
      <alignment vertical="center" wrapText="1"/>
    </xf>
    <xf numFmtId="0" fontId="3" fillId="2" borderId="1" xfId="8" applyNumberFormat="1" applyFont="1" applyFill="1" applyBorder="1" applyAlignment="1" applyProtection="1">
      <alignment horizontal="center" vertical="center"/>
    </xf>
    <xf numFmtId="0" fontId="59" fillId="23" borderId="0" xfId="0" applyFont="1" applyFill="1" applyAlignment="1">
      <alignment vertical="center"/>
    </xf>
    <xf numFmtId="0" fontId="59" fillId="23" borderId="0" xfId="0" applyFont="1" applyFill="1" applyAlignment="1">
      <alignment horizontal="right" vertical="center"/>
    </xf>
    <xf numFmtId="0" fontId="11" fillId="18" borderId="1" xfId="0" applyFont="1" applyFill="1" applyBorder="1" applyAlignment="1">
      <alignment horizontal="center" vertical="center" wrapText="1"/>
    </xf>
    <xf numFmtId="167" fontId="3" fillId="2" borderId="0" xfId="2" applyNumberFormat="1" applyFill="1" applyProtection="1">
      <protection hidden="1"/>
    </xf>
    <xf numFmtId="2" fontId="3" fillId="0" borderId="0" xfId="0" applyNumberFormat="1" applyFont="1" applyAlignment="1">
      <alignment vertical="center"/>
    </xf>
    <xf numFmtId="164" fontId="3" fillId="2" borderId="12" xfId="0" quotePrefix="1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 applyProtection="1">
      <alignment horizontal="center" vertical="center"/>
      <protection locked="0"/>
    </xf>
    <xf numFmtId="0" fontId="3" fillId="5" borderId="1" xfId="0" applyFont="1" applyFill="1" applyBorder="1" applyAlignment="1" applyProtection="1">
      <alignment vertical="center"/>
      <protection locked="0"/>
    </xf>
    <xf numFmtId="49" fontId="3" fillId="5" borderId="1" xfId="0" applyNumberFormat="1" applyFont="1" applyFill="1" applyBorder="1" applyAlignment="1" applyProtection="1">
      <alignment horizontal="center" vertical="center"/>
      <protection locked="0"/>
    </xf>
    <xf numFmtId="1" fontId="3" fillId="5" borderId="1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164" fontId="3" fillId="5" borderId="1" xfId="0" applyNumberFormat="1" applyFont="1" applyFill="1" applyBorder="1" applyAlignment="1" applyProtection="1">
      <alignment horizontal="center" vertical="center"/>
      <protection locked="0"/>
    </xf>
    <xf numFmtId="164" fontId="11" fillId="18" borderId="1" xfId="0" quotePrefix="1" applyNumberFormat="1" applyFont="1" applyFill="1" applyBorder="1" applyAlignment="1" applyProtection="1">
      <alignment horizontal="center" vertical="center"/>
      <protection locked="0"/>
    </xf>
    <xf numFmtId="164" fontId="11" fillId="5" borderId="1" xfId="0" applyNumberFormat="1" applyFont="1" applyFill="1" applyBorder="1" applyAlignment="1" applyProtection="1">
      <alignment horizontal="center" vertical="center"/>
      <protection locked="0"/>
    </xf>
    <xf numFmtId="0" fontId="3" fillId="11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 wrapText="1"/>
    </xf>
    <xf numFmtId="0" fontId="3" fillId="0" borderId="0" xfId="0" applyFont="1" applyAlignment="1" applyProtection="1">
      <alignment horizontal="left" vertical="center"/>
      <protection locked="0"/>
    </xf>
    <xf numFmtId="0" fontId="3" fillId="0" borderId="5" xfId="0" applyFont="1" applyBorder="1" applyAlignment="1" applyProtection="1">
      <alignment horizontal="left" vertical="center"/>
      <protection locked="0"/>
    </xf>
    <xf numFmtId="0" fontId="3" fillId="0" borderId="2" xfId="0" applyFont="1" applyBorder="1" applyAlignment="1" applyProtection="1">
      <alignment vertical="center" wrapText="1"/>
      <protection locked="0"/>
    </xf>
    <xf numFmtId="0" fontId="3" fillId="0" borderId="3" xfId="0" applyFont="1" applyBorder="1" applyAlignment="1" applyProtection="1">
      <alignment horizontal="center" vertical="center" wrapText="1"/>
      <protection locked="0"/>
    </xf>
    <xf numFmtId="164" fontId="3" fillId="2" borderId="3" xfId="0" applyNumberFormat="1" applyFont="1" applyFill="1" applyBorder="1" applyAlignment="1" applyProtection="1">
      <alignment horizontal="center" vertical="center"/>
      <protection locked="0"/>
    </xf>
    <xf numFmtId="168" fontId="3" fillId="15" borderId="3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168" fontId="3" fillId="15" borderId="0" xfId="0" applyNumberFormat="1" applyFont="1" applyFill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vertical="center"/>
      <protection locked="0"/>
    </xf>
    <xf numFmtId="167" fontId="11" fillId="5" borderId="18" xfId="0" applyNumberFormat="1" applyFont="1" applyFill="1" applyBorder="1" applyAlignment="1" applyProtection="1">
      <alignment horizontal="center" vertical="center"/>
      <protection locked="0"/>
    </xf>
    <xf numFmtId="167" fontId="11" fillId="5" borderId="19" xfId="0" applyNumberFormat="1" applyFont="1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0" fontId="0" fillId="5" borderId="5" xfId="0" applyFill="1" applyBorder="1" applyAlignment="1" applyProtection="1">
      <alignment horizontal="center" vertical="center"/>
      <protection locked="0"/>
    </xf>
    <xf numFmtId="167" fontId="11" fillId="5" borderId="20" xfId="0" applyNumberFormat="1" applyFont="1" applyFill="1" applyBorder="1" applyAlignment="1" applyProtection="1">
      <alignment horizontal="center" vertical="center"/>
      <protection locked="0"/>
    </xf>
    <xf numFmtId="167" fontId="11" fillId="5" borderId="21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3" fillId="21" borderId="12" xfId="0" applyFont="1" applyFill="1" applyBorder="1" applyAlignment="1">
      <alignment horizontal="center" vertical="center" wrapText="1"/>
    </xf>
    <xf numFmtId="0" fontId="13" fillId="21" borderId="14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left" vertical="center"/>
    </xf>
    <xf numFmtId="0" fontId="2" fillId="4" borderId="3" xfId="0" applyFont="1" applyFill="1" applyBorder="1" applyAlignment="1">
      <alignment horizontal="left" vertical="center"/>
    </xf>
    <xf numFmtId="0" fontId="2" fillId="4" borderId="5" xfId="0" applyFont="1" applyFill="1" applyBorder="1" applyAlignment="1">
      <alignment horizontal="left" vertical="center"/>
    </xf>
    <xf numFmtId="0" fontId="14" fillId="9" borderId="10" xfId="0" applyFont="1" applyFill="1" applyBorder="1" applyAlignment="1">
      <alignment horizontal="center" vertical="center"/>
    </xf>
    <xf numFmtId="0" fontId="14" fillId="9" borderId="11" xfId="0" applyFont="1" applyFill="1" applyBorder="1" applyAlignment="1">
      <alignment horizontal="center" vertical="center"/>
    </xf>
    <xf numFmtId="0" fontId="14" fillId="9" borderId="15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left" vertical="center" wrapText="1"/>
    </xf>
    <xf numFmtId="0" fontId="2" fillId="4" borderId="13" xfId="0" applyFont="1" applyFill="1" applyBorder="1" applyAlignment="1">
      <alignment horizontal="center" vertical="center" textRotation="90" wrapText="1"/>
    </xf>
    <xf numFmtId="0" fontId="2" fillId="4" borderId="14" xfId="0" applyFont="1" applyFill="1" applyBorder="1" applyAlignment="1">
      <alignment horizontal="center" vertical="center" textRotation="90" wrapText="1"/>
    </xf>
    <xf numFmtId="0" fontId="2" fillId="0" borderId="0" xfId="0" applyFont="1" applyAlignment="1">
      <alignment horizontal="center" vertical="center" wrapText="1"/>
    </xf>
    <xf numFmtId="0" fontId="2" fillId="4" borderId="1" xfId="0" applyFont="1" applyFill="1" applyBorder="1" applyAlignment="1">
      <alignment horizontal="left" vertical="center"/>
    </xf>
    <xf numFmtId="0" fontId="3" fillId="5" borderId="1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left" vertical="center"/>
      <protection locked="0"/>
    </xf>
    <xf numFmtId="170" fontId="3" fillId="0" borderId="1" xfId="0" applyNumberFormat="1" applyFont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left" vertical="center"/>
      <protection locked="0"/>
    </xf>
    <xf numFmtId="0" fontId="3" fillId="0" borderId="5" xfId="0" applyFont="1" applyBorder="1" applyAlignment="1" applyProtection="1">
      <alignment horizontal="left" vertical="center"/>
      <protection locked="0"/>
    </xf>
    <xf numFmtId="18" fontId="3" fillId="0" borderId="1" xfId="0" applyNumberFormat="1" applyFont="1" applyBorder="1" applyAlignment="1" applyProtection="1">
      <alignment horizontal="left" vertical="center"/>
      <protection locked="0"/>
    </xf>
    <xf numFmtId="0" fontId="3" fillId="2" borderId="1" xfId="0" applyFont="1" applyFill="1" applyBorder="1" applyAlignment="1">
      <alignment horizontal="center" vertical="center"/>
    </xf>
    <xf numFmtId="164" fontId="3" fillId="2" borderId="4" xfId="0" applyNumberFormat="1" applyFont="1" applyFill="1" applyBorder="1" applyAlignment="1">
      <alignment horizontal="right" vertical="center"/>
    </xf>
    <xf numFmtId="164" fontId="3" fillId="2" borderId="0" xfId="0" applyNumberFormat="1" applyFont="1" applyFill="1" applyAlignment="1">
      <alignment horizontal="right" vertical="center"/>
    </xf>
    <xf numFmtId="0" fontId="2" fillId="4" borderId="12" xfId="0" applyFont="1" applyFill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13" borderId="6" xfId="0" applyFont="1" applyFill="1" applyBorder="1" applyAlignment="1" applyProtection="1">
      <alignment horizontal="left" vertical="center"/>
      <protection locked="0"/>
    </xf>
    <xf numFmtId="0" fontId="3" fillId="13" borderId="7" xfId="0" applyFont="1" applyFill="1" applyBorder="1" applyAlignment="1" applyProtection="1">
      <alignment horizontal="left" vertical="center"/>
      <protection locked="0"/>
    </xf>
    <xf numFmtId="0" fontId="3" fillId="13" borderId="8" xfId="0" applyFont="1" applyFill="1" applyBorder="1" applyAlignment="1" applyProtection="1">
      <alignment horizontal="left" vertical="center"/>
      <protection locked="0"/>
    </xf>
    <xf numFmtId="0" fontId="3" fillId="13" borderId="10" xfId="0" applyFont="1" applyFill="1" applyBorder="1" applyAlignment="1" applyProtection="1">
      <alignment horizontal="left" vertical="center"/>
      <protection locked="0"/>
    </xf>
    <xf numFmtId="0" fontId="3" fillId="13" borderId="11" xfId="0" applyFont="1" applyFill="1" applyBorder="1" applyAlignment="1" applyProtection="1">
      <alignment horizontal="left" vertical="center"/>
      <protection locked="0"/>
    </xf>
    <xf numFmtId="0" fontId="3" fillId="13" borderId="15" xfId="0" applyFont="1" applyFill="1" applyBorder="1" applyAlignment="1" applyProtection="1">
      <alignment horizontal="left" vertical="center"/>
      <protection locked="0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170" fontId="3" fillId="0" borderId="2" xfId="0" applyNumberFormat="1" applyFont="1" applyBorder="1" applyAlignment="1" applyProtection="1">
      <alignment horizontal="center" vertical="center"/>
      <protection locked="0"/>
    </xf>
    <xf numFmtId="170" fontId="3" fillId="0" borderId="3" xfId="0" applyNumberFormat="1" applyFont="1" applyBorder="1" applyAlignment="1" applyProtection="1">
      <alignment horizontal="center" vertical="center"/>
      <protection locked="0"/>
    </xf>
    <xf numFmtId="170" fontId="3" fillId="0" borderId="5" xfId="0" applyNumberFormat="1" applyFont="1" applyBorder="1" applyAlignment="1" applyProtection="1">
      <alignment horizontal="center" vertical="center"/>
      <protection locked="0"/>
    </xf>
    <xf numFmtId="2" fontId="3" fillId="2" borderId="12" xfId="0" applyNumberFormat="1" applyFont="1" applyFill="1" applyBorder="1" applyAlignment="1">
      <alignment horizontal="center" vertical="center"/>
    </xf>
    <xf numFmtId="2" fontId="3" fillId="2" borderId="13" xfId="0" applyNumberFormat="1" applyFont="1" applyFill="1" applyBorder="1" applyAlignment="1">
      <alignment horizontal="center" vertical="center"/>
    </xf>
    <xf numFmtId="2" fontId="3" fillId="2" borderId="14" xfId="0" applyNumberFormat="1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18" fontId="3" fillId="2" borderId="2" xfId="0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64" fontId="3" fillId="2" borderId="6" xfId="0" applyNumberFormat="1" applyFont="1" applyFill="1" applyBorder="1" applyAlignment="1">
      <alignment horizontal="right" vertical="center"/>
    </xf>
    <xf numFmtId="164" fontId="3" fillId="2" borderId="7" xfId="0" applyNumberFormat="1" applyFont="1" applyFill="1" applyBorder="1" applyAlignment="1">
      <alignment horizontal="right" vertical="center"/>
    </xf>
    <xf numFmtId="14" fontId="3" fillId="5" borderId="30" xfId="0" applyNumberFormat="1" applyFont="1" applyFill="1" applyBorder="1" applyAlignment="1" applyProtection="1">
      <alignment horizontal="center" vertical="center"/>
      <protection locked="0"/>
    </xf>
    <xf numFmtId="14" fontId="3" fillId="5" borderId="28" xfId="0" applyNumberFormat="1" applyFont="1" applyFill="1" applyBorder="1" applyAlignment="1" applyProtection="1">
      <alignment horizontal="center" vertical="center"/>
      <protection locked="0"/>
    </xf>
    <xf numFmtId="14" fontId="3" fillId="5" borderId="31" xfId="0" applyNumberFormat="1" applyFont="1" applyFill="1" applyBorder="1" applyAlignment="1" applyProtection="1">
      <alignment horizontal="center" vertical="center"/>
      <protection locked="0"/>
    </xf>
    <xf numFmtId="0" fontId="2" fillId="11" borderId="30" xfId="0" applyFont="1" applyFill="1" applyBorder="1" applyAlignment="1">
      <alignment horizontal="center" vertical="center"/>
    </xf>
    <xf numFmtId="0" fontId="2" fillId="11" borderId="28" xfId="0" applyFont="1" applyFill="1" applyBorder="1" applyAlignment="1">
      <alignment horizontal="center" vertical="center"/>
    </xf>
    <xf numFmtId="0" fontId="2" fillId="11" borderId="29" xfId="0" applyFont="1" applyFill="1" applyBorder="1" applyAlignment="1">
      <alignment horizontal="center" vertical="center"/>
    </xf>
    <xf numFmtId="0" fontId="3" fillId="5" borderId="30" xfId="0" applyFont="1" applyFill="1" applyBorder="1" applyAlignment="1" applyProtection="1">
      <alignment horizontal="center" vertical="center"/>
      <protection locked="0"/>
    </xf>
    <xf numFmtId="0" fontId="3" fillId="5" borderId="28" xfId="0" applyFont="1" applyFill="1" applyBorder="1" applyAlignment="1" applyProtection="1">
      <alignment horizontal="center" vertical="center"/>
      <protection locked="0"/>
    </xf>
    <xf numFmtId="0" fontId="3" fillId="5" borderId="29" xfId="0" applyFont="1" applyFill="1" applyBorder="1" applyAlignment="1" applyProtection="1">
      <alignment horizontal="center" vertical="center"/>
      <protection locked="0"/>
    </xf>
    <xf numFmtId="14" fontId="3" fillId="15" borderId="1" xfId="0" applyNumberFormat="1" applyFont="1" applyFill="1" applyBorder="1" applyAlignment="1" applyProtection="1">
      <alignment horizontal="center" vertical="center"/>
      <protection locked="0"/>
    </xf>
    <xf numFmtId="167" fontId="11" fillId="5" borderId="24" xfId="0" applyNumberFormat="1" applyFont="1" applyFill="1" applyBorder="1" applyAlignment="1" applyProtection="1">
      <alignment horizontal="center" vertical="center"/>
      <protection locked="0"/>
    </xf>
    <xf numFmtId="167" fontId="11" fillId="5" borderId="25" xfId="0" applyNumberFormat="1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>
      <alignment horizont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7" fillId="0" borderId="15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 applyProtection="1">
      <alignment horizontal="left" vertical="center"/>
      <protection locked="0"/>
    </xf>
    <xf numFmtId="0" fontId="3" fillId="5" borderId="3" xfId="0" applyFont="1" applyFill="1" applyBorder="1" applyAlignment="1" applyProtection="1">
      <alignment horizontal="left" vertical="center"/>
      <protection locked="0"/>
    </xf>
    <xf numFmtId="0" fontId="3" fillId="5" borderId="5" xfId="0" applyFont="1" applyFill="1" applyBorder="1" applyAlignment="1" applyProtection="1">
      <alignment horizontal="left" vertical="center"/>
      <protection locked="0"/>
    </xf>
    <xf numFmtId="0" fontId="53" fillId="23" borderId="2" xfId="0" applyFont="1" applyFill="1" applyBorder="1" applyAlignment="1">
      <alignment horizontal="center" vertical="center"/>
    </xf>
    <xf numFmtId="0" fontId="53" fillId="23" borderId="3" xfId="0" applyFont="1" applyFill="1" applyBorder="1" applyAlignment="1">
      <alignment horizontal="center" vertical="center"/>
    </xf>
    <xf numFmtId="0" fontId="3" fillId="5" borderId="1" xfId="0" applyFont="1" applyFill="1" applyBorder="1" applyAlignment="1" applyProtection="1">
      <alignment horizontal="left" vertical="center"/>
      <protection locked="0"/>
    </xf>
    <xf numFmtId="0" fontId="13" fillId="4" borderId="1" xfId="0" applyFont="1" applyFill="1" applyBorder="1" applyAlignment="1">
      <alignment horizontal="center" vertical="center" wrapText="1"/>
    </xf>
    <xf numFmtId="0" fontId="13" fillId="16" borderId="6" xfId="0" applyFont="1" applyFill="1" applyBorder="1" applyAlignment="1">
      <alignment horizontal="center" vertical="center" wrapText="1"/>
    </xf>
    <xf numFmtId="0" fontId="13" fillId="16" borderId="8" xfId="0" applyFont="1" applyFill="1" applyBorder="1" applyAlignment="1">
      <alignment horizontal="center" vertical="center" wrapText="1"/>
    </xf>
    <xf numFmtId="0" fontId="13" fillId="16" borderId="10" xfId="0" applyFont="1" applyFill="1" applyBorder="1" applyAlignment="1">
      <alignment horizontal="center" vertical="center" wrapText="1"/>
    </xf>
    <xf numFmtId="0" fontId="13" fillId="16" borderId="15" xfId="0" applyFont="1" applyFill="1" applyBorder="1" applyAlignment="1">
      <alignment horizontal="center" vertical="center" wrapText="1"/>
    </xf>
    <xf numFmtId="0" fontId="13" fillId="16" borderId="1" xfId="0" applyFont="1" applyFill="1" applyBorder="1" applyAlignment="1">
      <alignment horizontal="center" vertical="center" wrapText="1"/>
    </xf>
    <xf numFmtId="0" fontId="28" fillId="17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13" fillId="19" borderId="1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center" vertical="center"/>
    </xf>
    <xf numFmtId="165" fontId="2" fillId="19" borderId="1" xfId="0" applyNumberFormat="1" applyFont="1" applyFill="1" applyBorder="1" applyAlignment="1">
      <alignment horizontal="center" vertical="center"/>
    </xf>
    <xf numFmtId="0" fontId="2" fillId="27" borderId="26" xfId="0" applyFont="1" applyFill="1" applyBorder="1" applyAlignment="1">
      <alignment horizontal="center" vertical="center"/>
    </xf>
    <xf numFmtId="0" fontId="2" fillId="27" borderId="27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 wrapText="1"/>
    </xf>
    <xf numFmtId="0" fontId="2" fillId="4" borderId="11" xfId="0" applyFont="1" applyFill="1" applyBorder="1" applyAlignment="1">
      <alignment horizontal="center" vertical="center" wrapText="1"/>
    </xf>
    <xf numFmtId="0" fontId="2" fillId="4" borderId="15" xfId="0" applyFont="1" applyFill="1" applyBorder="1" applyAlignment="1">
      <alignment horizontal="center" vertical="center" wrapText="1"/>
    </xf>
    <xf numFmtId="0" fontId="14" fillId="9" borderId="14" xfId="0" applyFont="1" applyFill="1" applyBorder="1" applyAlignment="1">
      <alignment horizontal="center" vertical="center" wrapText="1"/>
    </xf>
    <xf numFmtId="167" fontId="3" fillId="5" borderId="2" xfId="0" applyNumberFormat="1" applyFont="1" applyFill="1" applyBorder="1" applyAlignment="1" applyProtection="1">
      <alignment horizontal="center" vertical="center"/>
      <protection locked="0"/>
    </xf>
    <xf numFmtId="167" fontId="3" fillId="5" borderId="5" xfId="0" applyNumberFormat="1" applyFont="1" applyFill="1" applyBorder="1" applyAlignment="1" applyProtection="1">
      <alignment horizontal="center" vertical="center"/>
      <protection locked="0"/>
    </xf>
    <xf numFmtId="0" fontId="57" fillId="0" borderId="1" xfId="0" applyFont="1" applyBorder="1" applyAlignment="1">
      <alignment horizontal="center" vertical="center" wrapText="1"/>
    </xf>
    <xf numFmtId="0" fontId="57" fillId="0" borderId="6" xfId="0" applyFont="1" applyBorder="1" applyAlignment="1">
      <alignment horizontal="center" vertical="center" wrapText="1"/>
    </xf>
    <xf numFmtId="0" fontId="57" fillId="0" borderId="8" xfId="0" applyFont="1" applyBorder="1" applyAlignment="1">
      <alignment horizontal="center" vertical="center" wrapText="1"/>
    </xf>
    <xf numFmtId="0" fontId="57" fillId="0" borderId="4" xfId="0" applyFont="1" applyBorder="1" applyAlignment="1">
      <alignment horizontal="center" vertical="center" wrapText="1"/>
    </xf>
    <xf numFmtId="0" fontId="57" fillId="0" borderId="9" xfId="0" applyFont="1" applyBorder="1" applyAlignment="1">
      <alignment horizontal="center" vertical="center" wrapText="1"/>
    </xf>
    <xf numFmtId="0" fontId="56" fillId="0" borderId="1" xfId="0" applyFont="1" applyBorder="1" applyAlignment="1">
      <alignment horizontal="center" vertical="center"/>
    </xf>
    <xf numFmtId="0" fontId="57" fillId="0" borderId="1" xfId="0" quotePrefix="1" applyFont="1" applyBorder="1" applyAlignment="1">
      <alignment horizontal="center" vertical="center" wrapText="1"/>
    </xf>
    <xf numFmtId="0" fontId="52" fillId="24" borderId="0" xfId="0" applyFont="1" applyFill="1" applyAlignment="1">
      <alignment horizontal="left" vertical="center" wrapText="1"/>
    </xf>
    <xf numFmtId="0" fontId="3" fillId="0" borderId="0" xfId="0" applyFont="1"/>
    <xf numFmtId="0" fontId="54" fillId="23" borderId="1" xfId="0" applyFont="1" applyFill="1" applyBorder="1" applyAlignment="1">
      <alignment horizontal="center" vertical="center" wrapText="1"/>
    </xf>
    <xf numFmtId="0" fontId="54" fillId="23" borderId="12" xfId="0" applyFont="1" applyFill="1" applyBorder="1" applyAlignment="1">
      <alignment horizontal="center" vertical="center" wrapText="1"/>
    </xf>
    <xf numFmtId="0" fontId="28" fillId="26" borderId="1" xfId="0" applyFont="1" applyFill="1" applyBorder="1" applyAlignment="1">
      <alignment horizontal="center" vertical="center" wrapText="1"/>
    </xf>
    <xf numFmtId="0" fontId="60" fillId="2" borderId="0" xfId="2" applyFont="1" applyFill="1" applyAlignment="1">
      <alignment horizontal="center" vertical="center" wrapText="1"/>
    </xf>
    <xf numFmtId="0" fontId="45" fillId="2" borderId="0" xfId="2" applyFont="1" applyFill="1" applyAlignment="1">
      <alignment horizontal="center" vertical="center" wrapText="1"/>
    </xf>
    <xf numFmtId="0" fontId="16" fillId="6" borderId="0" xfId="2" applyFont="1" applyFill="1" applyAlignment="1">
      <alignment horizontal="center" vertical="center" wrapText="1"/>
    </xf>
    <xf numFmtId="0" fontId="30" fillId="2" borderId="0" xfId="2" applyFont="1" applyFill="1" applyAlignment="1">
      <alignment horizontal="left" vertical="center" wrapText="1"/>
    </xf>
    <xf numFmtId="0" fontId="40" fillId="10" borderId="1" xfId="2" applyFont="1" applyFill="1" applyBorder="1" applyAlignment="1">
      <alignment horizontal="center" vertical="center" wrapText="1"/>
    </xf>
    <xf numFmtId="0" fontId="3" fillId="13" borderId="1" xfId="2" applyFill="1" applyBorder="1" applyAlignment="1">
      <alignment horizontal="center" vertical="center"/>
    </xf>
    <xf numFmtId="0" fontId="41" fillId="10" borderId="1" xfId="2" applyFont="1" applyFill="1" applyBorder="1" applyAlignment="1">
      <alignment horizontal="center" vertical="center" wrapText="1"/>
    </xf>
    <xf numFmtId="0" fontId="29" fillId="10" borderId="1" xfId="2" applyFont="1" applyFill="1" applyBorder="1" applyAlignment="1">
      <alignment horizontal="center" vertical="center" wrapText="1"/>
    </xf>
    <xf numFmtId="170" fontId="3" fillId="13" borderId="1" xfId="2" applyNumberFormat="1" applyFill="1" applyBorder="1" applyAlignment="1">
      <alignment horizontal="center" vertical="center"/>
    </xf>
    <xf numFmtId="0" fontId="2" fillId="2" borderId="0" xfId="2" applyFont="1" applyFill="1" applyAlignment="1">
      <alignment horizontal="right" vertical="center"/>
    </xf>
    <xf numFmtId="0" fontId="51" fillId="13" borderId="1" xfId="2" applyFont="1" applyFill="1" applyBorder="1" applyAlignment="1">
      <alignment horizontal="center"/>
    </xf>
    <xf numFmtId="0" fontId="3" fillId="2" borderId="1" xfId="2" applyFill="1" applyBorder="1" applyAlignment="1">
      <alignment horizontal="center" vertical="center"/>
    </xf>
    <xf numFmtId="18" fontId="3" fillId="13" borderId="1" xfId="2" applyNumberFormat="1" applyFill="1" applyBorder="1" applyAlignment="1">
      <alignment horizontal="center" vertical="center"/>
    </xf>
    <xf numFmtId="0" fontId="51" fillId="13" borderId="1" xfId="2" applyFont="1" applyFill="1" applyBorder="1" applyAlignment="1">
      <alignment horizontal="center" vertical="center"/>
    </xf>
    <xf numFmtId="0" fontId="47" fillId="22" borderId="0" xfId="0" applyFont="1" applyFill="1" applyAlignment="1">
      <alignment horizontal="center" vertical="center"/>
    </xf>
    <xf numFmtId="0" fontId="2" fillId="2" borderId="1" xfId="2" applyFont="1" applyFill="1" applyBorder="1" applyAlignment="1" applyProtection="1">
      <alignment horizontal="center" vertical="center"/>
      <protection hidden="1"/>
    </xf>
    <xf numFmtId="0" fontId="2" fillId="6" borderId="1" xfId="3" applyFont="1" applyFill="1" applyBorder="1" applyAlignment="1" applyProtection="1">
      <alignment horizontal="center" vertical="center"/>
      <protection hidden="1"/>
    </xf>
    <xf numFmtId="0" fontId="40" fillId="10" borderId="1" xfId="2" applyFont="1" applyFill="1" applyBorder="1" applyAlignment="1" applyProtection="1">
      <alignment horizontal="center" vertical="center" wrapText="1"/>
      <protection hidden="1"/>
    </xf>
    <xf numFmtId="0" fontId="3" fillId="2" borderId="1" xfId="2" applyFill="1" applyBorder="1" applyAlignment="1" applyProtection="1">
      <alignment horizontal="center" vertical="center"/>
      <protection hidden="1"/>
    </xf>
    <xf numFmtId="0" fontId="41" fillId="10" borderId="1" xfId="2" applyFont="1" applyFill="1" applyBorder="1" applyAlignment="1" applyProtection="1">
      <alignment horizontal="center" vertical="center" wrapText="1"/>
      <protection hidden="1"/>
    </xf>
    <xf numFmtId="0" fontId="29" fillId="10" borderId="1" xfId="2" applyFont="1" applyFill="1" applyBorder="1" applyAlignment="1" applyProtection="1">
      <alignment horizontal="center" vertical="center" wrapText="1"/>
      <protection hidden="1"/>
    </xf>
    <xf numFmtId="170" fontId="3" fillId="2" borderId="1" xfId="2" applyNumberFormat="1" applyFill="1" applyBorder="1" applyAlignment="1" applyProtection="1">
      <alignment horizontal="center" vertical="center"/>
      <protection hidden="1"/>
    </xf>
    <xf numFmtId="0" fontId="2" fillId="2" borderId="1" xfId="3" applyFont="1" applyFill="1" applyBorder="1" applyAlignment="1" applyProtection="1">
      <alignment horizontal="center" vertical="center"/>
      <protection hidden="1"/>
    </xf>
    <xf numFmtId="0" fontId="30" fillId="2" borderId="0" xfId="2" applyFont="1" applyFill="1" applyAlignment="1" applyProtection="1">
      <alignment horizontal="left" vertical="center" wrapText="1"/>
      <protection hidden="1"/>
    </xf>
    <xf numFmtId="0" fontId="2" fillId="6" borderId="1" xfId="3" applyFont="1" applyFill="1" applyBorder="1" applyAlignment="1" applyProtection="1">
      <alignment horizontal="center" vertical="center" wrapText="1"/>
      <protection hidden="1"/>
    </xf>
    <xf numFmtId="0" fontId="2" fillId="20" borderId="1" xfId="2" applyFont="1" applyFill="1" applyBorder="1" applyAlignment="1" applyProtection="1">
      <alignment horizontal="center" vertical="center"/>
      <protection hidden="1"/>
    </xf>
    <xf numFmtId="18" fontId="3" fillId="2" borderId="1" xfId="2" applyNumberFormat="1" applyFill="1" applyBorder="1" applyAlignment="1" applyProtection="1">
      <alignment horizontal="center" vertical="center"/>
      <protection hidden="1"/>
    </xf>
    <xf numFmtId="0" fontId="36" fillId="10" borderId="1" xfId="2" applyFont="1" applyFill="1" applyBorder="1" applyAlignment="1" applyProtection="1">
      <alignment horizontal="center" vertical="center" wrapText="1"/>
      <protection hidden="1"/>
    </xf>
    <xf numFmtId="0" fontId="3" fillId="0" borderId="6" xfId="2" applyBorder="1" applyAlignment="1" applyProtection="1">
      <alignment horizontal="center"/>
      <protection hidden="1"/>
    </xf>
    <xf numFmtId="0" fontId="3" fillId="0" borderId="7" xfId="2" applyBorder="1" applyAlignment="1" applyProtection="1">
      <alignment horizontal="center"/>
      <protection hidden="1"/>
    </xf>
    <xf numFmtId="0" fontId="3" fillId="0" borderId="8" xfId="2" applyBorder="1" applyAlignment="1" applyProtection="1">
      <alignment horizontal="center"/>
      <protection hidden="1"/>
    </xf>
    <xf numFmtId="0" fontId="3" fillId="0" borderId="10" xfId="2" applyBorder="1" applyAlignment="1" applyProtection="1">
      <alignment horizontal="center"/>
      <protection hidden="1"/>
    </xf>
    <xf numFmtId="0" fontId="3" fillId="0" borderId="11" xfId="2" applyBorder="1" applyAlignment="1" applyProtection="1">
      <alignment horizontal="center"/>
      <protection hidden="1"/>
    </xf>
    <xf numFmtId="0" fontId="3" fillId="0" borderId="15" xfId="2" applyBorder="1" applyAlignment="1" applyProtection="1">
      <alignment horizontal="center"/>
      <protection hidden="1"/>
    </xf>
    <xf numFmtId="0" fontId="2" fillId="3" borderId="1" xfId="3" applyFont="1" applyFill="1" applyBorder="1" applyAlignment="1" applyProtection="1">
      <alignment horizontal="left" vertical="center"/>
      <protection hidden="1"/>
    </xf>
    <xf numFmtId="0" fontId="28" fillId="0" borderId="2" xfId="0" applyFont="1" applyBorder="1" applyAlignment="1" applyProtection="1">
      <alignment horizontal="center" vertical="center" wrapText="1"/>
      <protection hidden="1"/>
    </xf>
    <xf numFmtId="0" fontId="28" fillId="0" borderId="3" xfId="0" applyFont="1" applyBorder="1" applyAlignment="1" applyProtection="1">
      <alignment horizontal="center" vertical="center" wrapText="1"/>
      <protection hidden="1"/>
    </xf>
    <xf numFmtId="0" fontId="28" fillId="0" borderId="5" xfId="0" applyFont="1" applyBorder="1" applyAlignment="1" applyProtection="1">
      <alignment horizontal="center" vertical="center" wrapText="1"/>
      <protection hidden="1"/>
    </xf>
    <xf numFmtId="0" fontId="2" fillId="2" borderId="1" xfId="2" applyFont="1" applyFill="1" applyBorder="1" applyAlignment="1" applyProtection="1">
      <alignment vertical="center"/>
      <protection hidden="1"/>
    </xf>
    <xf numFmtId="0" fontId="2" fillId="2" borderId="1" xfId="2" applyFont="1" applyFill="1" applyBorder="1" applyAlignment="1" applyProtection="1">
      <alignment horizontal="left" vertical="center"/>
      <protection hidden="1"/>
    </xf>
    <xf numFmtId="0" fontId="28" fillId="0" borderId="2" xfId="0" applyFont="1" applyBorder="1" applyAlignment="1" applyProtection="1">
      <alignment horizontal="left" vertical="center"/>
      <protection hidden="1"/>
    </xf>
    <xf numFmtId="0" fontId="28" fillId="0" borderId="3" xfId="0" applyFont="1" applyBorder="1" applyAlignment="1" applyProtection="1">
      <alignment horizontal="left" vertical="center"/>
      <protection hidden="1"/>
    </xf>
    <xf numFmtId="0" fontId="28" fillId="0" borderId="5" xfId="0" applyFont="1" applyBorder="1" applyAlignment="1" applyProtection="1">
      <alignment horizontal="left" vertical="center"/>
      <protection hidden="1"/>
    </xf>
    <xf numFmtId="0" fontId="2" fillId="0" borderId="2" xfId="0" applyFont="1" applyBorder="1" applyAlignment="1" applyProtection="1">
      <alignment horizontal="left" vertical="center"/>
      <protection hidden="1"/>
    </xf>
    <xf numFmtId="0" fontId="2" fillId="0" borderId="3" xfId="0" applyFont="1" applyBorder="1" applyAlignment="1" applyProtection="1">
      <alignment horizontal="left" vertical="center"/>
      <protection hidden="1"/>
    </xf>
    <xf numFmtId="0" fontId="2" fillId="0" borderId="5" xfId="0" applyFont="1" applyBorder="1" applyAlignment="1" applyProtection="1">
      <alignment horizontal="left" vertical="center"/>
      <protection hidden="1"/>
    </xf>
    <xf numFmtId="169" fontId="3" fillId="2" borderId="2" xfId="2" applyNumberFormat="1" applyFill="1" applyBorder="1" applyAlignment="1" applyProtection="1">
      <alignment horizontal="center" vertical="center"/>
      <protection hidden="1"/>
    </xf>
    <xf numFmtId="169" fontId="3" fillId="2" borderId="3" xfId="2" applyNumberFormat="1" applyFill="1" applyBorder="1" applyAlignment="1" applyProtection="1">
      <alignment horizontal="center" vertical="center"/>
      <protection hidden="1"/>
    </xf>
    <xf numFmtId="169" fontId="3" fillId="2" borderId="5" xfId="2" applyNumberFormat="1" applyFill="1" applyBorder="1" applyAlignment="1" applyProtection="1">
      <alignment horizontal="center" vertical="center"/>
      <protection hidden="1"/>
    </xf>
    <xf numFmtId="167" fontId="3" fillId="0" borderId="2" xfId="2" applyNumberFormat="1" applyBorder="1" applyAlignment="1" applyProtection="1">
      <alignment horizontal="center" vertical="center"/>
      <protection hidden="1"/>
    </xf>
    <xf numFmtId="167" fontId="3" fillId="0" borderId="3" xfId="2" applyNumberFormat="1" applyBorder="1" applyAlignment="1" applyProtection="1">
      <alignment horizontal="center" vertical="center"/>
      <protection hidden="1"/>
    </xf>
    <xf numFmtId="167" fontId="3" fillId="0" borderId="5" xfId="2" applyNumberFormat="1" applyBorder="1" applyAlignment="1" applyProtection="1">
      <alignment horizontal="center" vertical="center"/>
      <protection hidden="1"/>
    </xf>
    <xf numFmtId="0" fontId="16" fillId="6" borderId="0" xfId="2" applyFont="1" applyFill="1" applyAlignment="1" applyProtection="1">
      <alignment horizontal="center" vertical="center" wrapText="1"/>
      <protection hidden="1"/>
    </xf>
    <xf numFmtId="0" fontId="17" fillId="2" borderId="0" xfId="2" applyFont="1" applyFill="1" applyAlignment="1" applyProtection="1">
      <alignment horizontal="left" vertical="center" wrapText="1"/>
      <protection hidden="1"/>
    </xf>
    <xf numFmtId="1" fontId="2" fillId="2" borderId="0" xfId="3" applyNumberFormat="1" applyFont="1" applyFill="1" applyAlignment="1" applyProtection="1">
      <alignment horizontal="center" vertical="center"/>
      <protection hidden="1"/>
    </xf>
    <xf numFmtId="0" fontId="52" fillId="24" borderId="0" xfId="0" applyFont="1" applyFill="1" applyAlignment="1">
      <alignment horizontal="center" vertical="center" wrapText="1"/>
    </xf>
    <xf numFmtId="0" fontId="4" fillId="3" borderId="6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4" fillId="3" borderId="10" xfId="0" applyFont="1" applyFill="1" applyBorder="1" applyAlignment="1">
      <alignment horizontal="center"/>
    </xf>
    <xf numFmtId="0" fontId="4" fillId="3" borderId="15" xfId="0" applyFont="1" applyFill="1" applyBorder="1" applyAlignment="1">
      <alignment horizontal="center"/>
    </xf>
    <xf numFmtId="0" fontId="3" fillId="13" borderId="2" xfId="2" applyFill="1" applyBorder="1" applyAlignment="1">
      <alignment horizontal="center" vertical="center"/>
    </xf>
    <xf numFmtId="0" fontId="3" fillId="13" borderId="5" xfId="2" applyFill="1" applyBorder="1" applyAlignment="1">
      <alignment horizontal="center" vertical="center"/>
    </xf>
    <xf numFmtId="1" fontId="2" fillId="13" borderId="1" xfId="3" applyNumberFormat="1" applyFont="1" applyFill="1" applyBorder="1" applyAlignment="1" applyProtection="1">
      <alignment horizontal="center" vertical="center"/>
      <protection hidden="1"/>
    </xf>
    <xf numFmtId="2" fontId="3" fillId="13" borderId="1" xfId="5" applyNumberFormat="1" applyFill="1" applyBorder="1" applyAlignment="1" applyProtection="1">
      <alignment horizontal="center"/>
      <protection hidden="1"/>
    </xf>
    <xf numFmtId="2" fontId="3" fillId="14" borderId="16" xfId="2" applyNumberFormat="1" applyFill="1" applyBorder="1" applyAlignment="1" applyProtection="1">
      <alignment horizontal="center"/>
      <protection hidden="1"/>
    </xf>
    <xf numFmtId="170" fontId="3" fillId="13" borderId="1" xfId="2" applyNumberFormat="1" applyFill="1" applyBorder="1" applyAlignment="1" applyProtection="1">
      <alignment horizontal="center" vertical="center"/>
      <protection hidden="1"/>
    </xf>
    <xf numFmtId="0" fontId="0" fillId="0" borderId="5" xfId="0" applyBorder="1" applyProtection="1">
      <protection hidden="1"/>
    </xf>
    <xf numFmtId="0" fontId="3" fillId="13" borderId="1" xfId="2" applyFill="1" applyBorder="1" applyAlignment="1" applyProtection="1">
      <alignment horizontal="center" vertical="center"/>
      <protection hidden="1"/>
    </xf>
    <xf numFmtId="172" fontId="3" fillId="13" borderId="1" xfId="2" applyNumberFormat="1" applyFill="1" applyBorder="1" applyAlignment="1" applyProtection="1">
      <alignment horizontal="center" vertical="center"/>
      <protection hidden="1"/>
    </xf>
    <xf numFmtId="0" fontId="3" fillId="13" borderId="1" xfId="2" applyFill="1" applyBorder="1" applyAlignment="1" applyProtection="1">
      <alignment horizontal="center" vertical="center"/>
      <protection hidden="1"/>
    </xf>
    <xf numFmtId="0" fontId="3" fillId="13" borderId="1" xfId="0" applyFont="1" applyFill="1" applyBorder="1" applyAlignment="1" applyProtection="1">
      <alignment horizontal="center" vertical="center"/>
      <protection hidden="1"/>
    </xf>
    <xf numFmtId="2" fontId="3" fillId="13" borderId="1" xfId="2" applyNumberFormat="1" applyFill="1" applyBorder="1" applyAlignment="1" applyProtection="1">
      <alignment horizontal="center" vertical="center"/>
      <protection hidden="1"/>
    </xf>
    <xf numFmtId="164" fontId="11" fillId="13" borderId="1" xfId="2" applyNumberFormat="1" applyFont="1" applyFill="1" applyBorder="1" applyAlignment="1" applyProtection="1">
      <alignment horizontal="center" vertical="center"/>
      <protection hidden="1"/>
    </xf>
    <xf numFmtId="164" fontId="3" fillId="13" borderId="1" xfId="2" applyNumberFormat="1" applyFill="1" applyBorder="1" applyAlignment="1" applyProtection="1">
      <alignment horizontal="center" vertical="center"/>
      <protection hidden="1"/>
    </xf>
  </cellXfs>
  <cellStyles count="9">
    <cellStyle name="Normal" xfId="0" builtinId="0"/>
    <cellStyle name="Normal 10 2 2" xfId="2" xr:uid="{00000000-0005-0000-0000-000001000000}"/>
    <cellStyle name="Normal 11 2" xfId="5" xr:uid="{00000000-0005-0000-0000-000002000000}"/>
    <cellStyle name="Normal 13" xfId="7" xr:uid="{00000000-0005-0000-0000-000003000000}"/>
    <cellStyle name="Normal 2" xfId="1" xr:uid="{00000000-0005-0000-0000-000004000000}"/>
    <cellStyle name="Normal 2 2" xfId="3" xr:uid="{00000000-0005-0000-0000-000005000000}"/>
    <cellStyle name="Normal 4 2" xfId="4" xr:uid="{00000000-0005-0000-0000-000006000000}"/>
    <cellStyle name="Percent" xfId="8" builtinId="5"/>
    <cellStyle name="Porcentaje 2" xfId="6" xr:uid="{00000000-0005-0000-0000-000008000000}"/>
  </cellStyles>
  <dxfs count="23"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92D05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fill>
        <patternFill>
          <bgColor theme="5" tint="0.39994506668294322"/>
        </patternFill>
      </fill>
    </dxf>
  </dxfs>
  <tableStyles count="0" defaultTableStyle="TableStyleMedium2" defaultPivotStyle="PivotStyleLight16"/>
  <colors>
    <mruColors>
      <color rgb="FFA0CEB6"/>
      <color rgb="FF90DE9D"/>
      <color rgb="FF7FEF8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-7.6021434820647471E-3"/>
                  <c:y val="0.20407844852726759"/>
                </c:manualLayout>
              </c:layout>
              <c:numFmt formatCode="General" sourceLinked="0"/>
              <c:spPr>
                <a:solidFill>
                  <a:schemeClr val="accent2">
                    <a:lumMod val="40000"/>
                    <a:lumOff val="60000"/>
                  </a:schemeClr>
                </a:solidFill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</c:trendlineLbl>
          </c:trendline>
          <c:xVal>
            <c:numLit>
              <c:formatCode>General</c:formatCode>
              <c:ptCount val="5"/>
              <c:pt idx="0">
                <c:v>3.01</c:v>
              </c:pt>
              <c:pt idx="1">
                <c:v>10.039999999999999</c:v>
              </c:pt>
              <c:pt idx="2">
                <c:v>14.93</c:v>
              </c:pt>
              <c:pt idx="3">
                <c:v>20.09</c:v>
              </c:pt>
              <c:pt idx="4">
                <c:v>29.88</c:v>
              </c:pt>
            </c:numLit>
          </c:xVal>
          <c:yVal>
            <c:numLit>
              <c:formatCode>General</c:formatCode>
              <c:ptCount val="5"/>
              <c:pt idx="0">
                <c:v>0.33222591362125542</c:v>
              </c:pt>
              <c:pt idx="1">
                <c:v>0.39840637450198357</c:v>
              </c:pt>
              <c:pt idx="2">
                <c:v>0.46885465505693424</c:v>
              </c:pt>
              <c:pt idx="3">
                <c:v>0.44798407167745075</c:v>
              </c:pt>
              <c:pt idx="4">
                <c:v>0.40160642570281457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F0EF-4D7D-8FCF-0468C3351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232112"/>
        <c:axId val="440224664"/>
      </c:scatterChart>
      <c:valAx>
        <c:axId val="440232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PE"/>
          </a:p>
        </c:txPr>
        <c:crossAx val="440224664"/>
        <c:crosses val="autoZero"/>
        <c:crossBetween val="midCat"/>
      </c:valAx>
      <c:valAx>
        <c:axId val="440224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PE"/>
          </a:p>
        </c:txPr>
        <c:crossAx val="440232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PE"/>
    </a:p>
  </c:txPr>
  <c:printSettings>
    <c:headerFooter alignWithMargins="0"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613719712861343"/>
          <c:y val="0.10655812695506714"/>
          <c:w val="0.7223807421633327"/>
          <c:h val="0.7698610672206944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'UEstandar-Uexp'!$R$11</c:f>
              <c:strCache>
                <c:ptCount val="1"/>
                <c:pt idx="0">
                  <c:v>u (sesgo)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8.1989788886011133E-2"/>
                  <c:y val="-9.1586811052278463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</c:trendlineLbl>
          </c:trendline>
          <c:xVal>
            <c:numRef>
              <c:f>[0]!DatosX</c:f>
              <c:numCache>
                <c:formatCode>0.00</c:formatCode>
                <c:ptCount val="3"/>
                <c:pt idx="0">
                  <c:v>20</c:v>
                </c:pt>
                <c:pt idx="1">
                  <c:v>80</c:v>
                </c:pt>
                <c:pt idx="2">
                  <c:v>200</c:v>
                </c:pt>
              </c:numCache>
            </c:numRef>
          </c:xVal>
          <c:yVal>
            <c:numRef>
              <c:f>[0]!RangoValores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72-4CB1-9D5D-4910A04CF8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225056"/>
        <c:axId val="440225840"/>
      </c:scatterChart>
      <c:valAx>
        <c:axId val="440225056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40225840"/>
        <c:crosses val="autoZero"/>
        <c:crossBetween val="midCat"/>
      </c:valAx>
      <c:valAx>
        <c:axId val="440225840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40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'UEstandar-Uexp'!$R$37</c:f>
              <c:strCache>
                <c:ptCount val="1"/>
                <c:pt idx="0">
                  <c:v>u SR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4429647397879641"/>
                  <c:y val="-0.121678498242734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</c:trendlineLbl>
          </c:trendline>
          <c:xVal>
            <c:numRef>
              <c:f>[0]!DatosXincert</c:f>
              <c:numCache>
                <c:formatCode>0.00</c:formatCode>
                <c:ptCount val="3"/>
                <c:pt idx="0" formatCode="0.000">
                  <c:v>20</c:v>
                </c:pt>
                <c:pt idx="1">
                  <c:v>80</c:v>
                </c:pt>
                <c:pt idx="2">
                  <c:v>200</c:v>
                </c:pt>
              </c:numCache>
            </c:numRef>
          </c:xVal>
          <c:yVal>
            <c:numRef>
              <c:f>[0]!RangoValoresIncer</c:f>
              <c:numCache>
                <c:formatCode>0.00000</c:formatCode>
                <c:ptCount val="3"/>
                <c:pt idx="0">
                  <c:v>0.22546987973267477</c:v>
                </c:pt>
                <c:pt idx="1">
                  <c:v>1.0053271993623643</c:v>
                </c:pt>
                <c:pt idx="2">
                  <c:v>2.7595395147258426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83-444C-8B29-10F9530DC2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2000"/>
        <c:axId val="8533568"/>
      </c:scatterChart>
      <c:valAx>
        <c:axId val="8532000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533568"/>
        <c:crosses val="autoZero"/>
        <c:crossBetween val="midCat"/>
      </c:valAx>
      <c:valAx>
        <c:axId val="8533568"/>
        <c:scaling>
          <c:orientation val="minMax"/>
        </c:scaling>
        <c:delete val="0"/>
        <c:axPos val="l"/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532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s-PE" sz="1200"/>
              <a:t>Curva de Calibracion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delete val="1"/>
          </c:dLbls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25827232824415347"/>
                  <c:y val="-5.36157112018792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</c:trendlineLbl>
          </c:trendline>
          <c:xVal>
            <c:numRef>
              <c:f>P_DIS!$F$15:$F$21</c:f>
              <c:numCache>
                <c:formatCode>General</c:formatCode>
                <c:ptCount val="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0.4</c:v>
                </c:pt>
                <c:pt idx="4">
                  <c:v>0.6</c:v>
                </c:pt>
                <c:pt idx="5">
                  <c:v>0.8</c:v>
                </c:pt>
                <c:pt idx="6">
                  <c:v>1</c:v>
                </c:pt>
              </c:numCache>
            </c:numRef>
          </c:xVal>
          <c:yVal>
            <c:numRef>
              <c:f>P_DIS!$H$15:$H$21</c:f>
              <c:numCache>
                <c:formatCode>0.0000</c:formatCode>
                <c:ptCount val="7"/>
                <c:pt idx="0">
                  <c:v>0</c:v>
                </c:pt>
                <c:pt idx="1">
                  <c:v>7.0999999999999994E-2</c:v>
                </c:pt>
                <c:pt idx="2">
                  <c:v>0.14599999999999999</c:v>
                </c:pt>
                <c:pt idx="3">
                  <c:v>0.30399999999999999</c:v>
                </c:pt>
                <c:pt idx="4">
                  <c:v>0.442</c:v>
                </c:pt>
                <c:pt idx="5">
                  <c:v>0.56699999999999995</c:v>
                </c:pt>
                <c:pt idx="6">
                  <c:v>0.72699999999999998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C2-4672-8E8C-5787F1A3E80A}"/>
            </c:ext>
          </c:extLst>
        </c:ser>
        <c:dLbls>
          <c:dLblPos val="r"/>
          <c:showLegendKey val="0"/>
          <c:showVal val="1"/>
          <c:showCatName val="1"/>
          <c:showSerName val="0"/>
          <c:showPercent val="0"/>
          <c:showBubbleSize val="0"/>
        </c:dLbls>
        <c:axId val="440228584"/>
        <c:axId val="440228976"/>
      </c:scatterChart>
      <c:valAx>
        <c:axId val="44022858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/>
                  <a:t>Concentración (mg/L)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40228976"/>
        <c:crosses val="autoZero"/>
        <c:crossBetween val="midCat"/>
      </c:valAx>
      <c:valAx>
        <c:axId val="44022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Absorbancia (A°)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40228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-7.6021434820647471E-3"/>
                  <c:y val="0.20407844852726759"/>
                </c:manualLayout>
              </c:layout>
              <c:numFmt formatCode="General" sourceLinked="0"/>
              <c:spPr>
                <a:solidFill>
                  <a:schemeClr val="accent2">
                    <a:lumMod val="40000"/>
                    <a:lumOff val="60000"/>
                  </a:schemeClr>
                </a:solidFill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PE"/>
                </a:p>
              </c:txPr>
            </c:trendlineLbl>
          </c:trendline>
          <c:xVal>
            <c:numLit>
              <c:formatCode>General</c:formatCode>
              <c:ptCount val="5"/>
              <c:pt idx="0">
                <c:v>3.01</c:v>
              </c:pt>
              <c:pt idx="1">
                <c:v>10.039999999999999</c:v>
              </c:pt>
              <c:pt idx="2">
                <c:v>14.93</c:v>
              </c:pt>
              <c:pt idx="3">
                <c:v>20.09</c:v>
              </c:pt>
              <c:pt idx="4">
                <c:v>29.88</c:v>
              </c:pt>
            </c:numLit>
          </c:xVal>
          <c:yVal>
            <c:numLit>
              <c:formatCode>General</c:formatCode>
              <c:ptCount val="5"/>
              <c:pt idx="0">
                <c:v>0.33222591362125542</c:v>
              </c:pt>
              <c:pt idx="1">
                <c:v>0.39840637450198357</c:v>
              </c:pt>
              <c:pt idx="2">
                <c:v>0.46885465505693424</c:v>
              </c:pt>
              <c:pt idx="3">
                <c:v>0.44798407167745075</c:v>
              </c:pt>
              <c:pt idx="4">
                <c:v>0.40160642570281457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1DF0-4371-A016-99F414AAC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0432"/>
        <c:axId val="8530824"/>
      </c:scatterChart>
      <c:valAx>
        <c:axId val="8530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PE"/>
          </a:p>
        </c:txPr>
        <c:crossAx val="8530824"/>
        <c:crosses val="autoZero"/>
        <c:crossBetween val="midCat"/>
      </c:valAx>
      <c:valAx>
        <c:axId val="8530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PE"/>
          </a:p>
        </c:txPr>
        <c:crossAx val="85304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PE"/>
    </a:p>
  </c:txPr>
  <c:printSettings>
    <c:headerFooter alignWithMargins="0"/>
    <c:pageMargins b="0.75000000000000033" l="0.70000000000000029" r="0.70000000000000029" t="0.75000000000000033" header="0.30000000000000016" footer="0.30000000000000016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'UEstandar-Uexp'!$R$37</c:f>
              <c:strCache>
                <c:ptCount val="1"/>
                <c:pt idx="0">
                  <c:v>u SR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4429647397879641"/>
                  <c:y val="-0.121678498242734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</c:trendlineLbl>
          </c:trendline>
          <c:xVal>
            <c:numRef>
              <c:f>[0]!DatosXincert</c:f>
              <c:numCache>
                <c:formatCode>0.00</c:formatCode>
                <c:ptCount val="3"/>
                <c:pt idx="0" formatCode="0.000">
                  <c:v>20</c:v>
                </c:pt>
                <c:pt idx="1">
                  <c:v>80</c:v>
                </c:pt>
                <c:pt idx="2">
                  <c:v>200</c:v>
                </c:pt>
              </c:numCache>
            </c:numRef>
          </c:xVal>
          <c:yVal>
            <c:numRef>
              <c:f>[0]!RangoValoresIncer</c:f>
              <c:numCache>
                <c:formatCode>0.00000</c:formatCode>
                <c:ptCount val="3"/>
                <c:pt idx="0">
                  <c:v>0.22546987973267477</c:v>
                </c:pt>
                <c:pt idx="1">
                  <c:v>1.0053271993623643</c:v>
                </c:pt>
                <c:pt idx="2">
                  <c:v>2.7595395147258426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A4A-43BD-A4AF-ABE9AC4DD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078920"/>
        <c:axId val="355079704"/>
      </c:scatterChart>
      <c:valAx>
        <c:axId val="355078920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55079704"/>
        <c:crosses val="autoZero"/>
        <c:crossBetween val="midCat"/>
      </c:valAx>
      <c:valAx>
        <c:axId val="355079704"/>
        <c:scaling>
          <c:orientation val="minMax"/>
        </c:scaling>
        <c:delete val="0"/>
        <c:axPos val="l"/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55078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'UEstandar-Uexp'!$R$11</c:f>
              <c:strCache>
                <c:ptCount val="1"/>
                <c:pt idx="0">
                  <c:v>u (sesgo)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8.1989788886011133E-2"/>
                  <c:y val="-9.1586811052278463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</c:trendlineLbl>
          </c:trendline>
          <c:xVal>
            <c:numRef>
              <c:f>[0]!DatosX</c:f>
              <c:numCache>
                <c:formatCode>0.00</c:formatCode>
                <c:ptCount val="3"/>
                <c:pt idx="0">
                  <c:v>20</c:v>
                </c:pt>
                <c:pt idx="1">
                  <c:v>80</c:v>
                </c:pt>
                <c:pt idx="2">
                  <c:v>200</c:v>
                </c:pt>
              </c:numCache>
            </c:numRef>
          </c:xVal>
          <c:yVal>
            <c:numRef>
              <c:f>[0]!RangoValores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9C4-4AE2-B2EA-7BA8B6791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076568"/>
        <c:axId val="355074608"/>
      </c:scatterChart>
      <c:valAx>
        <c:axId val="355076568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55074608"/>
        <c:crosses val="autoZero"/>
        <c:crossBetween val="midCat"/>
      </c:valAx>
      <c:valAx>
        <c:axId val="355074608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55076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7" Type="http://schemas.openxmlformats.org/officeDocument/2006/relationships/image" Target="../media/image3.png"/><Relationship Id="rId2" Type="http://schemas.openxmlformats.org/officeDocument/2006/relationships/image" Target="cid:image001.jpg@01CE1B4C.B636EB40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2.jpeg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cid:image001.jpg@01CE1B4C.B636EB40" TargetMode="External"/><Relationship Id="rId7" Type="http://schemas.openxmlformats.org/officeDocument/2006/relationships/image" Target="../media/image2.jpeg"/><Relationship Id="rId2" Type="http://schemas.openxmlformats.org/officeDocument/2006/relationships/image" Target="../media/image1.jpeg"/><Relationship Id="rId1" Type="http://schemas.openxmlformats.org/officeDocument/2006/relationships/chart" Target="../charts/chart5.xml"/><Relationship Id="rId6" Type="http://schemas.openxmlformats.org/officeDocument/2006/relationships/image" Target="../media/image4.png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21</xdr:row>
      <xdr:rowOff>0</xdr:rowOff>
    </xdr:from>
    <xdr:to>
      <xdr:col>16</xdr:col>
      <xdr:colOff>0</xdr:colOff>
      <xdr:row>22</xdr:row>
      <xdr:rowOff>0</xdr:rowOff>
    </xdr:to>
    <xdr:pic>
      <xdr:nvPicPr>
        <xdr:cNvPr id="3" name="Imagen_x005f_x005f_x005f_x0020_1" descr="cid:image002.jpg@01CE1999.F4631D3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92100" y="0"/>
          <a:ext cx="0" cy="733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0</xdr:colOff>
      <xdr:row>21</xdr:row>
      <xdr:rowOff>0</xdr:rowOff>
    </xdr:from>
    <xdr:to>
      <xdr:col>16</xdr:col>
      <xdr:colOff>0</xdr:colOff>
      <xdr:row>22</xdr:row>
      <xdr:rowOff>0</xdr:rowOff>
    </xdr:to>
    <xdr:pic>
      <xdr:nvPicPr>
        <xdr:cNvPr id="4" name="Imagen_x005f_x005f_x005f_x0020_1" descr="cid:image002.jpg@01CE1999.F4631D30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92100" y="0"/>
          <a:ext cx="0" cy="733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0</xdr:colOff>
      <xdr:row>21</xdr:row>
      <xdr:rowOff>0</xdr:rowOff>
    </xdr:from>
    <xdr:to>
      <xdr:col>16</xdr:col>
      <xdr:colOff>0</xdr:colOff>
      <xdr:row>22</xdr:row>
      <xdr:rowOff>0</xdr:rowOff>
    </xdr:to>
    <xdr:pic>
      <xdr:nvPicPr>
        <xdr:cNvPr id="5" name="Imagen_x005f_x005f_x005f_x0020_1" descr="cid:image002.jpg@01CE1999.F4631D30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92100" y="0"/>
          <a:ext cx="0" cy="733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0</xdr:colOff>
      <xdr:row>21</xdr:row>
      <xdr:rowOff>0</xdr:rowOff>
    </xdr:from>
    <xdr:to>
      <xdr:col>16</xdr:col>
      <xdr:colOff>0</xdr:colOff>
      <xdr:row>22</xdr:row>
      <xdr:rowOff>0</xdr:rowOff>
    </xdr:to>
    <xdr:pic>
      <xdr:nvPicPr>
        <xdr:cNvPr id="6" name="Imagen_x005f_x005f_x005f_x0020_1" descr="cid:image002.jpg@01CE1999.F4631D3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92100" y="0"/>
          <a:ext cx="0" cy="733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0</xdr:colOff>
      <xdr:row>21</xdr:row>
      <xdr:rowOff>0</xdr:rowOff>
    </xdr:from>
    <xdr:to>
      <xdr:col>16</xdr:col>
      <xdr:colOff>0</xdr:colOff>
      <xdr:row>22</xdr:row>
      <xdr:rowOff>0</xdr:rowOff>
    </xdr:to>
    <xdr:pic>
      <xdr:nvPicPr>
        <xdr:cNvPr id="7" name="Imagen_x005f_x005f_x005f_x0020_1" descr="cid:image002.jpg@01CE1999.F4631D30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92100" y="0"/>
          <a:ext cx="0" cy="733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0</xdr:colOff>
      <xdr:row>21</xdr:row>
      <xdr:rowOff>0</xdr:rowOff>
    </xdr:from>
    <xdr:to>
      <xdr:col>16</xdr:col>
      <xdr:colOff>0</xdr:colOff>
      <xdr:row>22</xdr:row>
      <xdr:rowOff>0</xdr:rowOff>
    </xdr:to>
    <xdr:pic>
      <xdr:nvPicPr>
        <xdr:cNvPr id="8" name="Imagen_x005f_x005f_x005f_x0020_1" descr="cid:image002.jpg@01CE1999.F4631D30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92100" y="0"/>
          <a:ext cx="0" cy="733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0</xdr:colOff>
      <xdr:row>21</xdr:row>
      <xdr:rowOff>0</xdr:rowOff>
    </xdr:from>
    <xdr:to>
      <xdr:col>16</xdr:col>
      <xdr:colOff>0</xdr:colOff>
      <xdr:row>22</xdr:row>
      <xdr:rowOff>0</xdr:rowOff>
    </xdr:to>
    <xdr:pic>
      <xdr:nvPicPr>
        <xdr:cNvPr id="9" name="Imagen_x005f_x005f_x005f_x0020_1" descr="cid:image002.jpg@01CE1999.F4631D30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92100" y="0"/>
          <a:ext cx="0" cy="733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0</xdr:colOff>
      <xdr:row>21</xdr:row>
      <xdr:rowOff>0</xdr:rowOff>
    </xdr:from>
    <xdr:to>
      <xdr:col>16</xdr:col>
      <xdr:colOff>0</xdr:colOff>
      <xdr:row>22</xdr:row>
      <xdr:rowOff>0</xdr:rowOff>
    </xdr:to>
    <xdr:pic>
      <xdr:nvPicPr>
        <xdr:cNvPr id="10" name="Imagen_x005f_x005f_x005f_x0020_1" descr="cid:image002.jpg@01CE1999.F4631D30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92100" y="0"/>
          <a:ext cx="0" cy="733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0</xdr:colOff>
      <xdr:row>21</xdr:row>
      <xdr:rowOff>0</xdr:rowOff>
    </xdr:from>
    <xdr:to>
      <xdr:col>16</xdr:col>
      <xdr:colOff>0</xdr:colOff>
      <xdr:row>22</xdr:row>
      <xdr:rowOff>0</xdr:rowOff>
    </xdr:to>
    <xdr:pic>
      <xdr:nvPicPr>
        <xdr:cNvPr id="11" name="Imagen_x005f_x005f_x005f_x0020_1" descr="cid:image002.jpg@01CE1999.F4631D3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92100" y="0"/>
          <a:ext cx="0" cy="733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0</xdr:colOff>
      <xdr:row>21</xdr:row>
      <xdr:rowOff>0</xdr:rowOff>
    </xdr:from>
    <xdr:to>
      <xdr:col>16</xdr:col>
      <xdr:colOff>0</xdr:colOff>
      <xdr:row>22</xdr:row>
      <xdr:rowOff>0</xdr:rowOff>
    </xdr:to>
    <xdr:pic>
      <xdr:nvPicPr>
        <xdr:cNvPr id="12" name="Imagen_x005f_x005f_x005f_x0020_1" descr="cid:image002.jpg@01CE1999.F4631D30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92100" y="0"/>
          <a:ext cx="0" cy="733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0</xdr:colOff>
      <xdr:row>21</xdr:row>
      <xdr:rowOff>0</xdr:rowOff>
    </xdr:from>
    <xdr:to>
      <xdr:col>16</xdr:col>
      <xdr:colOff>0</xdr:colOff>
      <xdr:row>22</xdr:row>
      <xdr:rowOff>0</xdr:rowOff>
    </xdr:to>
    <xdr:pic>
      <xdr:nvPicPr>
        <xdr:cNvPr id="13" name="Imagen_x005f_x005f_x005f_x0020_1" descr="cid:image002.jpg@01CE1999.F4631D30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92100" y="0"/>
          <a:ext cx="0" cy="733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</xdr:col>
      <xdr:colOff>278423</xdr:colOff>
      <xdr:row>63</xdr:row>
      <xdr:rowOff>0</xdr:rowOff>
    </xdr:from>
    <xdr:ext cx="1481397" cy="2322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CuadroTexto 27">
              <a:extLst>
                <a:ext uri="{FF2B5EF4-FFF2-40B4-BE49-F238E27FC236}">
                  <a16:creationId xmlns:a16="http://schemas.microsoft.com/office/drawing/2014/main" id="{BB63C090-A9FB-3443-ADCE-7E3FBBD0E335}"/>
                </a:ext>
              </a:extLst>
            </xdr:cNvPr>
            <xdr:cNvSpPr txBox="1"/>
          </xdr:nvSpPr>
          <xdr:spPr>
            <a:xfrm>
              <a:off x="1531327" y="7883769"/>
              <a:ext cx="1481397" cy="23221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700" b="1" i="1">
                        <a:latin typeface="Cambria Math" panose="02040503050406030204" pitchFamily="18" charset="0"/>
                      </a:rPr>
                      <m:t>𝑼</m:t>
                    </m:r>
                    <m:r>
                      <a:rPr lang="es-PE" sz="700" b="1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PE" sz="700" b="1" i="1">
                        <a:latin typeface="Cambria Math" panose="02040503050406030204" pitchFamily="18" charset="0"/>
                      </a:rPr>
                      <m:t>𝟐</m:t>
                    </m:r>
                    <m:r>
                      <a:rPr lang="es-PE" sz="700" b="1" i="1">
                        <a:latin typeface="Cambria Math" panose="02040503050406030204" pitchFamily="18" charset="0"/>
                      </a:rPr>
                      <m:t>∗</m:t>
                    </m:r>
                    <m:rad>
                      <m:radPr>
                        <m:degHide m:val="on"/>
                        <m:ctrlPr>
                          <a:rPr lang="es-PE" sz="700" b="1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s-PE" sz="700" b="1" i="1">
                            <a:latin typeface="Cambria Math" panose="02040503050406030204" pitchFamily="18" charset="0"/>
                          </a:rPr>
                          <m:t>𝒂</m:t>
                        </m:r>
                        <m:sSup>
                          <m:sSupPr>
                            <m:ctrlPr>
                              <a:rPr lang="es-PE" sz="700" b="1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PE" sz="700" b="1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PE" sz="700" b="1" i="1">
                                <a:latin typeface="Cambria Math" panose="02040503050406030204" pitchFamily="18" charset="0"/>
                              </a:rPr>
                              <m:t>𝒈</m:t>
                            </m:r>
                          </m:e>
                          <m:sup>
                            <m:r>
                              <a:rPr lang="es-PE" sz="700" b="1" i="1">
                                <a:latin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  <m:r>
                          <a:rPr lang="es-PE" sz="700" b="1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s-PE" sz="700" b="1" i="1">
                            <a:latin typeface="Cambria Math" panose="02040503050406030204" pitchFamily="18" charset="0"/>
                          </a:rPr>
                          <m:t>𝒃</m:t>
                        </m:r>
                        <m:sSup>
                          <m:sSupPr>
                            <m:ctrlPr>
                              <a:rPr lang="es-PE" sz="700" b="1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PE" sz="700" b="1" i="1">
                                <a:latin typeface="Cambria Math" panose="02040503050406030204" pitchFamily="18" charset="0"/>
                              </a:rPr>
                              <m:t>𝑹</m:t>
                            </m:r>
                          </m:e>
                          <m:sup>
                            <m:r>
                              <a:rPr lang="es-PE" sz="700" b="1" i="1">
                                <a:latin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</m:e>
                    </m:rad>
                  </m:oMath>
                </m:oMathPara>
              </a14:m>
              <a:endParaRPr lang="es-PE" sz="600" b="1"/>
            </a:p>
          </xdr:txBody>
        </xdr:sp>
      </mc:Choice>
      <mc:Fallback xmlns="">
        <xdr:sp macro="" textlink="">
          <xdr:nvSpPr>
            <xdr:cNvPr id="28" name="CuadroTexto 27">
              <a:extLst>
                <a:ext uri="{FF2B5EF4-FFF2-40B4-BE49-F238E27FC236}">
                  <a16:creationId xmlns:a16="http://schemas.microsoft.com/office/drawing/2014/main" id="{BB63C090-A9FB-3443-ADCE-7E3FBBD0E335}"/>
                </a:ext>
              </a:extLst>
            </xdr:cNvPr>
            <xdr:cNvSpPr txBox="1"/>
          </xdr:nvSpPr>
          <xdr:spPr>
            <a:xfrm>
              <a:off x="1531327" y="7883769"/>
              <a:ext cx="1481397" cy="23221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PE" sz="700" b="1" i="0">
                  <a:latin typeface="Cambria Math" panose="02040503050406030204" pitchFamily="18" charset="0"/>
                </a:rPr>
                <a:t>𝑼=𝟐∗√(𝒂〖 𝒈〗^𝟐+𝒃𝑹^𝟐 )</a:t>
              </a:r>
              <a:endParaRPr lang="es-PE" sz="600" b="1"/>
            </a:p>
          </xdr:txBody>
        </xdr:sp>
      </mc:Fallback>
    </mc:AlternateContent>
    <xdr:clientData/>
  </xdr:oneCellAnchor>
  <xdr:twoCellAnchor>
    <xdr:from>
      <xdr:col>16</xdr:col>
      <xdr:colOff>0</xdr:colOff>
      <xdr:row>49</xdr:row>
      <xdr:rowOff>0</xdr:rowOff>
    </xdr:from>
    <xdr:to>
      <xdr:col>16</xdr:col>
      <xdr:colOff>0</xdr:colOff>
      <xdr:row>52</xdr:row>
      <xdr:rowOff>0</xdr:rowOff>
    </xdr:to>
    <xdr:pic>
      <xdr:nvPicPr>
        <xdr:cNvPr id="14" name="Imagen_x005f_x005f_x005f_x0020_1" descr="cid:image002.jpg@01CE1999.F4631D30">
          <a:extLst>
            <a:ext uri="{FF2B5EF4-FFF2-40B4-BE49-F238E27FC236}">
              <a16:creationId xmlns:a16="http://schemas.microsoft.com/office/drawing/2014/main" id="{2B2A7E3B-3001-40A0-BB9D-E8AC41D2C1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75019" y="0"/>
          <a:ext cx="0" cy="41030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0</xdr:colOff>
      <xdr:row>49</xdr:row>
      <xdr:rowOff>0</xdr:rowOff>
    </xdr:from>
    <xdr:to>
      <xdr:col>16</xdr:col>
      <xdr:colOff>0</xdr:colOff>
      <xdr:row>52</xdr:row>
      <xdr:rowOff>0</xdr:rowOff>
    </xdr:to>
    <xdr:pic>
      <xdr:nvPicPr>
        <xdr:cNvPr id="15" name="Imagen_x005f_x005f_x005f_x0020_1" descr="cid:image002.jpg@01CE1999.F4631D30">
          <a:extLst>
            <a:ext uri="{FF2B5EF4-FFF2-40B4-BE49-F238E27FC236}">
              <a16:creationId xmlns:a16="http://schemas.microsoft.com/office/drawing/2014/main" id="{F0869F45-91A0-4B55-BBB7-11D9EE01AB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75019" y="0"/>
          <a:ext cx="0" cy="41030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0</xdr:colOff>
      <xdr:row>49</xdr:row>
      <xdr:rowOff>0</xdr:rowOff>
    </xdr:from>
    <xdr:to>
      <xdr:col>16</xdr:col>
      <xdr:colOff>0</xdr:colOff>
      <xdr:row>52</xdr:row>
      <xdr:rowOff>0</xdr:rowOff>
    </xdr:to>
    <xdr:pic>
      <xdr:nvPicPr>
        <xdr:cNvPr id="17" name="Imagen_x005f_x005f_x005f_x0020_1" descr="cid:image002.jpg@01CE1999.F4631D30">
          <a:extLst>
            <a:ext uri="{FF2B5EF4-FFF2-40B4-BE49-F238E27FC236}">
              <a16:creationId xmlns:a16="http://schemas.microsoft.com/office/drawing/2014/main" id="{408B3DB7-47D9-4A00-B25B-141CC90818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75019" y="0"/>
          <a:ext cx="0" cy="41030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0</xdr:colOff>
      <xdr:row>49</xdr:row>
      <xdr:rowOff>0</xdr:rowOff>
    </xdr:from>
    <xdr:to>
      <xdr:col>16</xdr:col>
      <xdr:colOff>0</xdr:colOff>
      <xdr:row>52</xdr:row>
      <xdr:rowOff>0</xdr:rowOff>
    </xdr:to>
    <xdr:pic>
      <xdr:nvPicPr>
        <xdr:cNvPr id="18" name="Imagen_x005f_x005f_x005f_x0020_1" descr="cid:image002.jpg@01CE1999.F4631D30">
          <a:extLst>
            <a:ext uri="{FF2B5EF4-FFF2-40B4-BE49-F238E27FC236}">
              <a16:creationId xmlns:a16="http://schemas.microsoft.com/office/drawing/2014/main" id="{4B967A8E-BB63-4008-8263-835D38DCAA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75019" y="0"/>
          <a:ext cx="0" cy="41030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0</xdr:colOff>
      <xdr:row>49</xdr:row>
      <xdr:rowOff>0</xdr:rowOff>
    </xdr:from>
    <xdr:to>
      <xdr:col>16</xdr:col>
      <xdr:colOff>0</xdr:colOff>
      <xdr:row>52</xdr:row>
      <xdr:rowOff>0</xdr:rowOff>
    </xdr:to>
    <xdr:pic>
      <xdr:nvPicPr>
        <xdr:cNvPr id="19" name="Imagen_x005f_x005f_x005f_x0020_1" descr="cid:image002.jpg@01CE1999.F4631D30">
          <a:extLst>
            <a:ext uri="{FF2B5EF4-FFF2-40B4-BE49-F238E27FC236}">
              <a16:creationId xmlns:a16="http://schemas.microsoft.com/office/drawing/2014/main" id="{3190497B-6B9E-4CC0-A6B0-AACFF3EF3B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75019" y="0"/>
          <a:ext cx="0" cy="41030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0</xdr:colOff>
      <xdr:row>49</xdr:row>
      <xdr:rowOff>0</xdr:rowOff>
    </xdr:from>
    <xdr:to>
      <xdr:col>16</xdr:col>
      <xdr:colOff>0</xdr:colOff>
      <xdr:row>52</xdr:row>
      <xdr:rowOff>0</xdr:rowOff>
    </xdr:to>
    <xdr:pic>
      <xdr:nvPicPr>
        <xdr:cNvPr id="20" name="Imagen_x005f_x005f_x005f_x0020_1" descr="cid:image002.jpg@01CE1999.F4631D30">
          <a:extLst>
            <a:ext uri="{FF2B5EF4-FFF2-40B4-BE49-F238E27FC236}">
              <a16:creationId xmlns:a16="http://schemas.microsoft.com/office/drawing/2014/main" id="{070ABCA6-6B17-462D-B2C7-8CDE7D9075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75019" y="0"/>
          <a:ext cx="0" cy="41030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0</xdr:colOff>
      <xdr:row>49</xdr:row>
      <xdr:rowOff>0</xdr:rowOff>
    </xdr:from>
    <xdr:to>
      <xdr:col>16</xdr:col>
      <xdr:colOff>0</xdr:colOff>
      <xdr:row>52</xdr:row>
      <xdr:rowOff>0</xdr:rowOff>
    </xdr:to>
    <xdr:pic>
      <xdr:nvPicPr>
        <xdr:cNvPr id="21" name="Imagen_x005f_x005f_x005f_x0020_1" descr="cid:image002.jpg@01CE1999.F4631D30">
          <a:extLst>
            <a:ext uri="{FF2B5EF4-FFF2-40B4-BE49-F238E27FC236}">
              <a16:creationId xmlns:a16="http://schemas.microsoft.com/office/drawing/2014/main" id="{37E3420B-294D-4985-92FB-96D6007933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75019" y="0"/>
          <a:ext cx="0" cy="41030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0</xdr:colOff>
      <xdr:row>49</xdr:row>
      <xdr:rowOff>0</xdr:rowOff>
    </xdr:from>
    <xdr:to>
      <xdr:col>16</xdr:col>
      <xdr:colOff>0</xdr:colOff>
      <xdr:row>52</xdr:row>
      <xdr:rowOff>0</xdr:rowOff>
    </xdr:to>
    <xdr:pic>
      <xdr:nvPicPr>
        <xdr:cNvPr id="22" name="Imagen_x005f_x005f_x005f_x0020_1" descr="cid:image002.jpg@01CE1999.F4631D30">
          <a:extLst>
            <a:ext uri="{FF2B5EF4-FFF2-40B4-BE49-F238E27FC236}">
              <a16:creationId xmlns:a16="http://schemas.microsoft.com/office/drawing/2014/main" id="{C9CE1D1D-DE8B-4423-B377-DEAFE3159E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75019" y="0"/>
          <a:ext cx="0" cy="41030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0</xdr:colOff>
      <xdr:row>49</xdr:row>
      <xdr:rowOff>0</xdr:rowOff>
    </xdr:from>
    <xdr:to>
      <xdr:col>16</xdr:col>
      <xdr:colOff>0</xdr:colOff>
      <xdr:row>52</xdr:row>
      <xdr:rowOff>0</xdr:rowOff>
    </xdr:to>
    <xdr:pic>
      <xdr:nvPicPr>
        <xdr:cNvPr id="23" name="Imagen_x005f_x005f_x005f_x0020_1" descr="cid:image002.jpg@01CE1999.F4631D30">
          <a:extLst>
            <a:ext uri="{FF2B5EF4-FFF2-40B4-BE49-F238E27FC236}">
              <a16:creationId xmlns:a16="http://schemas.microsoft.com/office/drawing/2014/main" id="{EF990990-601D-40FC-938B-05B7AFAC3D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75019" y="0"/>
          <a:ext cx="0" cy="41030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0</xdr:colOff>
      <xdr:row>49</xdr:row>
      <xdr:rowOff>0</xdr:rowOff>
    </xdr:from>
    <xdr:to>
      <xdr:col>16</xdr:col>
      <xdr:colOff>0</xdr:colOff>
      <xdr:row>52</xdr:row>
      <xdr:rowOff>0</xdr:rowOff>
    </xdr:to>
    <xdr:pic>
      <xdr:nvPicPr>
        <xdr:cNvPr id="24" name="Imagen_x005f_x005f_x005f_x0020_1" descr="cid:image002.jpg@01CE1999.F4631D30">
          <a:extLst>
            <a:ext uri="{FF2B5EF4-FFF2-40B4-BE49-F238E27FC236}">
              <a16:creationId xmlns:a16="http://schemas.microsoft.com/office/drawing/2014/main" id="{0CB19E84-4819-43C9-8FBC-66EAB8CC39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75019" y="0"/>
          <a:ext cx="0" cy="41030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0</xdr:colOff>
      <xdr:row>49</xdr:row>
      <xdr:rowOff>0</xdr:rowOff>
    </xdr:from>
    <xdr:to>
      <xdr:col>16</xdr:col>
      <xdr:colOff>0</xdr:colOff>
      <xdr:row>52</xdr:row>
      <xdr:rowOff>0</xdr:rowOff>
    </xdr:to>
    <xdr:pic>
      <xdr:nvPicPr>
        <xdr:cNvPr id="25" name="Imagen_x005f_x005f_x005f_x0020_1" descr="cid:image002.jpg@01CE1999.F4631D30">
          <a:extLst>
            <a:ext uri="{FF2B5EF4-FFF2-40B4-BE49-F238E27FC236}">
              <a16:creationId xmlns:a16="http://schemas.microsoft.com/office/drawing/2014/main" id="{841491FE-64A4-4526-8BC4-A0D3E9036E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75019" y="0"/>
          <a:ext cx="0" cy="41030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13</xdr:col>
      <xdr:colOff>393667</xdr:colOff>
      <xdr:row>73</xdr:row>
      <xdr:rowOff>75088</xdr:rowOff>
    </xdr:from>
    <xdr:ext cx="153990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CuadroTexto 25">
              <a:extLst>
                <a:ext uri="{FF2B5EF4-FFF2-40B4-BE49-F238E27FC236}">
                  <a16:creationId xmlns:a16="http://schemas.microsoft.com/office/drawing/2014/main" id="{249E04DE-B45A-D89D-FA95-FB0082F0EC85}"/>
                </a:ext>
              </a:extLst>
            </xdr:cNvPr>
            <xdr:cNvSpPr txBox="1"/>
          </xdr:nvSpPr>
          <xdr:spPr>
            <a:xfrm>
              <a:off x="11699842" y="9628663"/>
              <a:ext cx="153990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𝐸𝑟𝑟𝑜𝑟</m:t>
                    </m:r>
                    <m:r>
                      <a:rPr lang="es-PE" sz="110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𝐶𝑜𝑟𝑟𝑒𝑐𝑐𝑖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ó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𝑛</m:t>
                    </m:r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6" name="CuadroTexto 25">
              <a:extLst>
                <a:ext uri="{FF2B5EF4-FFF2-40B4-BE49-F238E27FC236}">
                  <a16:creationId xmlns:a16="http://schemas.microsoft.com/office/drawing/2014/main" id="{249E04DE-B45A-D89D-FA95-FB0082F0EC85}"/>
                </a:ext>
              </a:extLst>
            </xdr:cNvPr>
            <xdr:cNvSpPr txBox="1"/>
          </xdr:nvSpPr>
          <xdr:spPr>
            <a:xfrm>
              <a:off x="11699842" y="9628663"/>
              <a:ext cx="153990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𝐸𝑟𝑟𝑜𝑟</a:t>
              </a:r>
              <a:r>
                <a:rPr lang="es-PE" sz="1100" i="0">
                  <a:latin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</a:rPr>
                <a:t>−𝐶𝑜𝑟𝑟𝑒𝑐𝑐𝑖ó𝑛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546067</xdr:colOff>
      <xdr:row>73</xdr:row>
      <xdr:rowOff>275113</xdr:rowOff>
    </xdr:from>
    <xdr:ext cx="328298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49C0F449-772E-4171-9ACC-5F0BEF696A9C}"/>
                </a:ext>
              </a:extLst>
            </xdr:cNvPr>
            <xdr:cNvSpPr txBox="1"/>
          </xdr:nvSpPr>
          <xdr:spPr>
            <a:xfrm>
              <a:off x="10937842" y="9828688"/>
              <a:ext cx="328298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𝐸𝑟𝑟𝑜𝑟</m:t>
                    </m:r>
                    <m:r>
                      <a:rPr lang="es-PE" sz="110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𝑉𝑎𝑙𝑜𝑟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𝑟𝑒𝑎𝑙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𝑜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𝑒𝑠𝑝𝑒𝑟𝑎𝑑𝑜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𝑉𝑎𝑙𝑜𝑟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𝑚𝑒𝑑𝑖𝑑𝑜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49C0F449-772E-4171-9ACC-5F0BEF696A9C}"/>
                </a:ext>
              </a:extLst>
            </xdr:cNvPr>
            <xdr:cNvSpPr txBox="1"/>
          </xdr:nvSpPr>
          <xdr:spPr>
            <a:xfrm>
              <a:off x="10937842" y="9828688"/>
              <a:ext cx="328298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𝐸𝑟𝑟𝑜𝑟</a:t>
              </a:r>
              <a:r>
                <a:rPr lang="es-PE" sz="1100" i="0">
                  <a:latin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</a:rPr>
                <a:t>𝑉𝑎𝑙𝑜𝑟 𝑟𝑒𝑎𝑙 𝑜 𝑒𝑠𝑝𝑒𝑟𝑎𝑑𝑜 −𝑉𝑎𝑙𝑜𝑟 𝑚𝑒𝑑𝑖𝑑𝑜 </a:t>
              </a:r>
              <a:endParaRPr lang="es-PE" sz="1100"/>
            </a:p>
          </xdr:txBody>
        </xdr:sp>
      </mc:Fallback>
    </mc:AlternateContent>
    <xdr:clientData/>
  </xdr:oneCellAnchor>
  <xdr:twoCellAnchor>
    <xdr:from>
      <xdr:col>1</xdr:col>
      <xdr:colOff>0</xdr:colOff>
      <xdr:row>6</xdr:row>
      <xdr:rowOff>0</xdr:rowOff>
    </xdr:from>
    <xdr:to>
      <xdr:col>9</xdr:col>
      <xdr:colOff>0</xdr:colOff>
      <xdr:row>6</xdr:row>
      <xdr:rowOff>0</xdr:rowOff>
    </xdr:to>
    <xdr:graphicFrame macro="">
      <xdr:nvGraphicFramePr>
        <xdr:cNvPr id="16" name="2 Gráfico">
          <a:extLst>
            <a:ext uri="{FF2B5EF4-FFF2-40B4-BE49-F238E27FC236}">
              <a16:creationId xmlns:a16="http://schemas.microsoft.com/office/drawing/2014/main" id="{2C12C9FA-893C-426A-BAED-62B84B77E0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89646</xdr:colOff>
      <xdr:row>21</xdr:row>
      <xdr:rowOff>196102</xdr:rowOff>
    </xdr:from>
    <xdr:to>
      <xdr:col>22</xdr:col>
      <xdr:colOff>459440</xdr:colOff>
      <xdr:row>30</xdr:row>
      <xdr:rowOff>100853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EDBCE399-8BAE-48E8-AAC2-8D6C2EA0AB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78441</xdr:colOff>
      <xdr:row>37</xdr:row>
      <xdr:rowOff>156882</xdr:rowOff>
    </xdr:from>
    <xdr:to>
      <xdr:col>22</xdr:col>
      <xdr:colOff>515471</xdr:colOff>
      <xdr:row>48</xdr:row>
      <xdr:rowOff>0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D63D370A-596D-4AF3-918F-4F5938C171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285750</xdr:colOff>
      <xdr:row>0</xdr:row>
      <xdr:rowOff>31750</xdr:rowOff>
    </xdr:from>
    <xdr:to>
      <xdr:col>2</xdr:col>
      <xdr:colOff>418272</xdr:colOff>
      <xdr:row>3</xdr:row>
      <xdr:rowOff>86967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F5C24FA7-51FB-4F4D-92C5-02B83EA76587}"/>
            </a:ext>
          </a:extLst>
        </xdr:cNvPr>
        <xdr:cNvGrpSpPr/>
      </xdr:nvGrpSpPr>
      <xdr:grpSpPr>
        <a:xfrm>
          <a:off x="603250" y="31750"/>
          <a:ext cx="1237422" cy="550517"/>
          <a:chOff x="4434417" y="5259917"/>
          <a:chExt cx="1332206" cy="800029"/>
        </a:xfrm>
      </xdr:grpSpPr>
      <xdr:pic>
        <xdr:nvPicPr>
          <xdr:cNvPr id="32" name="Imagen 31">
            <a:extLst>
              <a:ext uri="{FF2B5EF4-FFF2-40B4-BE49-F238E27FC236}">
                <a16:creationId xmlns:a16="http://schemas.microsoft.com/office/drawing/2014/main" id="{626B9182-327D-143B-9EC0-2180A3F3369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1888" t="17864" r="11097" b="19089"/>
          <a:stretch>
            <a:fillRect/>
          </a:stretch>
        </xdr:blipFill>
        <xdr:spPr bwMode="auto">
          <a:xfrm>
            <a:off x="4434417" y="5259917"/>
            <a:ext cx="1332206" cy="536363"/>
          </a:xfrm>
          <a:prstGeom prst="rect">
            <a:avLst/>
          </a:prstGeom>
          <a:noFill/>
          <a:ln>
            <a:noFill/>
          </a:ln>
          <a:extLst>
            <a:ext uri="{53640926-AAD7-44D8-BBD7-CCE9431645EC}">
              <a14:shadowObscured xmlns:a14="http://schemas.microsoft.com/office/drawing/2010/main"/>
            </a:ext>
          </a:extLst>
        </xdr:spPr>
      </xdr:pic>
      <xdr:pic>
        <xdr:nvPicPr>
          <xdr:cNvPr id="33" name="Imagen 32">
            <a:extLst>
              <a:ext uri="{FF2B5EF4-FFF2-40B4-BE49-F238E27FC236}">
                <a16:creationId xmlns:a16="http://schemas.microsoft.com/office/drawing/2014/main" id="{4E166F3F-6B96-E5A4-AD9C-FF33C67C0C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561577" y="5803250"/>
            <a:ext cx="982775" cy="256696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228599</xdr:colOff>
      <xdr:row>18</xdr:row>
      <xdr:rowOff>141513</xdr:rowOff>
    </xdr:from>
    <xdr:ext cx="2252133" cy="4381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2189278" y="4046763"/>
              <a:ext cx="2252133" cy="438150"/>
            </a:xfrm>
            <a:prstGeom prst="rect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s-PE" sz="1100" b="1" i="1">
                        <a:latin typeface="Cambria Math" panose="02040503050406030204" pitchFamily="18" charset="0"/>
                      </a:rPr>
                      <m:t>𝑷𝒅𝒊𝒔</m:t>
                    </m:r>
                    <m:r>
                      <a:rPr lang="es-PE" sz="1100" b="1" i="1">
                        <a:latin typeface="Cambria Math" panose="02040503050406030204" pitchFamily="18" charset="0"/>
                      </a:rPr>
                      <m:t>.</m:t>
                    </m:r>
                    <m:d>
                      <m:dPr>
                        <m:ctrlPr>
                          <a:rPr lang="es-PE" sz="11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1" i="1">
                            <a:latin typeface="Cambria Math" panose="02040503050406030204" pitchFamily="18" charset="0"/>
                          </a:rPr>
                          <m:t>𝒎𝒈</m:t>
                        </m:r>
                        <m:r>
                          <a:rPr lang="en-US" sz="1100" b="1" i="1">
                            <a:latin typeface="Cambria Math" panose="02040503050406030204" pitchFamily="18" charset="0"/>
                          </a:rPr>
                          <m:t>/</m:t>
                        </m:r>
                        <m:r>
                          <a:rPr lang="en-US" sz="1100" b="1" i="1">
                            <a:latin typeface="Cambria Math" panose="02040503050406030204" pitchFamily="18" charset="0"/>
                          </a:rPr>
                          <m:t>𝑲𝒈</m:t>
                        </m:r>
                      </m:e>
                    </m:d>
                    <m:r>
                      <a:rPr lang="es-PE" sz="1100" b="1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PE" sz="1100" b="1" i="1">
                        <a:latin typeface="Cambria Math" panose="02040503050406030204" pitchFamily="18" charset="0"/>
                      </a:rPr>
                      <m:t>𝑪𝑪</m:t>
                    </m:r>
                    <m:r>
                      <a:rPr lang="es-PE" sz="1100" b="1" i="1">
                        <a:latin typeface="Cambria Math" panose="02040503050406030204" pitchFamily="18" charset="0"/>
                      </a:rPr>
                      <m:t>∗</m:t>
                    </m:r>
                    <m:d>
                      <m:dPr>
                        <m:ctrlPr>
                          <a:rPr lang="es-PE" sz="11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PE" sz="1100" b="1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PE" sz="1100" b="1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PE" sz="1100" b="1" i="1">
                                    <a:latin typeface="Cambria Math" panose="02040503050406030204" pitchFamily="18" charset="0"/>
                                  </a:rPr>
                                  <m:t>𝑽</m:t>
                                </m:r>
                              </m:e>
                              <m:sub>
                                <m:r>
                                  <a:rPr lang="es-PE" sz="1100" b="1" i="1">
                                    <a:latin typeface="Cambria Math" panose="02040503050406030204" pitchFamily="18" charset="0"/>
                                  </a:rPr>
                                  <m:t>𝒊</m:t>
                                </m:r>
                              </m:sub>
                            </m:sSub>
                          </m:num>
                          <m:den>
                            <m:r>
                              <a:rPr lang="es-PE" sz="1100" b="1" i="1">
                                <a:latin typeface="Cambria Math" panose="02040503050406030204" pitchFamily="18" charset="0"/>
                              </a:rPr>
                              <m:t>𝒑</m:t>
                            </m:r>
                          </m:den>
                        </m:f>
                      </m:e>
                    </m:d>
                    <m:r>
                      <a:rPr lang="es-PE" sz="1100" b="1" i="1">
                        <a:latin typeface="Cambria Math" panose="02040503050406030204" pitchFamily="18" charset="0"/>
                      </a:rPr>
                      <m:t>∗</m:t>
                    </m:r>
                    <m:d>
                      <m:dPr>
                        <m:ctrlPr>
                          <a:rPr lang="es-PE" sz="11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PE" sz="1100" b="1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PE" sz="1100" b="1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PE" sz="1100" b="1" i="1">
                                    <a:latin typeface="Cambria Math" panose="02040503050406030204" pitchFamily="18" charset="0"/>
                                  </a:rPr>
                                  <m:t>𝑽</m:t>
                                </m:r>
                              </m:e>
                              <m:sub>
                                <m:r>
                                  <a:rPr lang="es-PE" sz="1100" b="1" i="1">
                                    <a:latin typeface="Cambria Math" panose="02040503050406030204" pitchFamily="18" charset="0"/>
                                  </a:rPr>
                                  <m:t>𝒇</m:t>
                                </m:r>
                              </m:sub>
                            </m:sSub>
                          </m:num>
                          <m:den>
                            <m:r>
                              <a:rPr lang="es-PE" sz="1100" b="1" i="1">
                                <a:latin typeface="Cambria Math" panose="02040503050406030204" pitchFamily="18" charset="0"/>
                              </a:rPr>
                              <m:t>𝒂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s-PE" sz="1100" b="1"/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2189278" y="4046763"/>
              <a:ext cx="2252133" cy="438150"/>
            </a:xfrm>
            <a:prstGeom prst="rect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s-PE" sz="1100" b="1" i="0">
                  <a:latin typeface="Cambria Math" panose="02040503050406030204" pitchFamily="18" charset="0"/>
                </a:rPr>
                <a:t>𝑷𝒅𝒊𝒔.(</a:t>
              </a:r>
              <a:r>
                <a:rPr lang="en-US" sz="1100" b="1" i="0">
                  <a:latin typeface="Cambria Math" panose="02040503050406030204" pitchFamily="18" charset="0"/>
                </a:rPr>
                <a:t>𝒎𝒈/𝑲𝒈)</a:t>
              </a:r>
              <a:r>
                <a:rPr lang="es-PE" sz="1100" b="1" i="0">
                  <a:latin typeface="Cambria Math" panose="02040503050406030204" pitchFamily="18" charset="0"/>
                </a:rPr>
                <a:t>=𝑪𝑪∗(𝑽_𝒊/𝒑)∗(𝑽_𝒇/𝒂)</a:t>
              </a:r>
              <a:endParaRPr lang="es-PE" sz="1100" b="1"/>
            </a:p>
          </xdr:txBody>
        </xdr:sp>
      </mc:Fallback>
    </mc:AlternateContent>
    <xdr:clientData/>
  </xdr:oneCellAnchor>
  <xdr:twoCellAnchor>
    <xdr:from>
      <xdr:col>9</xdr:col>
      <xdr:colOff>55033</xdr:colOff>
      <xdr:row>13</xdr:row>
      <xdr:rowOff>16932</xdr:rowOff>
    </xdr:from>
    <xdr:to>
      <xdr:col>13</xdr:col>
      <xdr:colOff>389468</xdr:colOff>
      <xdr:row>20</xdr:row>
      <xdr:rowOff>177800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0</xdr:row>
      <xdr:rowOff>31750</xdr:rowOff>
    </xdr:from>
    <xdr:to>
      <xdr:col>2</xdr:col>
      <xdr:colOff>418272</xdr:colOff>
      <xdr:row>3</xdr:row>
      <xdr:rowOff>86967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680AAA53-8C43-4E45-B7A8-5BEB7220745E}"/>
            </a:ext>
          </a:extLst>
        </xdr:cNvPr>
        <xdr:cNvGrpSpPr/>
      </xdr:nvGrpSpPr>
      <xdr:grpSpPr>
        <a:xfrm>
          <a:off x="358321" y="31750"/>
          <a:ext cx="912665" cy="545074"/>
          <a:chOff x="4434417" y="5259917"/>
          <a:chExt cx="1332206" cy="800029"/>
        </a:xfrm>
      </xdr:grpSpPr>
      <xdr:pic>
        <xdr:nvPicPr>
          <xdr:cNvPr id="5" name="Imagen 4">
            <a:extLst>
              <a:ext uri="{FF2B5EF4-FFF2-40B4-BE49-F238E27FC236}">
                <a16:creationId xmlns:a16="http://schemas.microsoft.com/office/drawing/2014/main" id="{8B428466-C979-B79B-775D-B0149A3404E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1888" t="17864" r="11097" b="19089"/>
          <a:stretch>
            <a:fillRect/>
          </a:stretch>
        </xdr:blipFill>
        <xdr:spPr bwMode="auto">
          <a:xfrm>
            <a:off x="4434417" y="5259917"/>
            <a:ext cx="1332206" cy="536363"/>
          </a:xfrm>
          <a:prstGeom prst="rect">
            <a:avLst/>
          </a:prstGeom>
          <a:noFill/>
          <a:ln>
            <a:noFill/>
          </a:ln>
          <a:extLst>
            <a:ext uri="{53640926-AAD7-44D8-BBD7-CCE9431645EC}">
              <a14:shadowObscured xmlns:a14="http://schemas.microsoft.com/office/drawing/2010/main"/>
            </a:ext>
          </a:extLst>
        </xdr:spPr>
      </xdr:pic>
      <xdr:pic>
        <xdr:nvPicPr>
          <xdr:cNvPr id="6" name="Imagen 5">
            <a:extLst>
              <a:ext uri="{FF2B5EF4-FFF2-40B4-BE49-F238E27FC236}">
                <a16:creationId xmlns:a16="http://schemas.microsoft.com/office/drawing/2014/main" id="{D2405FD6-36E4-72F9-A4C4-B71D4EB3B9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561577" y="5803250"/>
            <a:ext cx="982775" cy="256696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177800</xdr:colOff>
          <xdr:row>1</xdr:row>
          <xdr:rowOff>1814</xdr:rowOff>
        </xdr:from>
        <xdr:to>
          <xdr:col>25</xdr:col>
          <xdr:colOff>139700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Bloquear F-82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88900</xdr:colOff>
          <xdr:row>1</xdr:row>
          <xdr:rowOff>1814</xdr:rowOff>
        </xdr:from>
        <xdr:to>
          <xdr:col>28</xdr:col>
          <xdr:colOff>63500</xdr:colOff>
          <xdr:row>4</xdr:row>
          <xdr:rowOff>25400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Desbloquear F-82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7</xdr:col>
      <xdr:colOff>0</xdr:colOff>
      <xdr:row>4</xdr:row>
      <xdr:rowOff>0</xdr:rowOff>
    </xdr:to>
    <xdr:graphicFrame macro="">
      <xdr:nvGraphicFramePr>
        <xdr:cNvPr id="2" name="2 Gráfico">
          <a:extLst>
            <a:ext uri="{FF2B5EF4-FFF2-40B4-BE49-F238E27FC236}">
              <a16:creationId xmlns:a16="http://schemas.microsoft.com/office/drawing/2014/main" id="{340F157A-4B4C-4D93-9696-859CB12165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4</xdr:row>
      <xdr:rowOff>0</xdr:rowOff>
    </xdr:from>
    <xdr:to>
      <xdr:col>16</xdr:col>
      <xdr:colOff>0</xdr:colOff>
      <xdr:row>6</xdr:row>
      <xdr:rowOff>0</xdr:rowOff>
    </xdr:to>
    <xdr:pic>
      <xdr:nvPicPr>
        <xdr:cNvPr id="3" name="Imagen_x005f_x005f_x005f_x0020_1" descr="cid:image002.jpg@01CE1999.F4631D30">
          <a:extLst>
            <a:ext uri="{FF2B5EF4-FFF2-40B4-BE49-F238E27FC236}">
              <a16:creationId xmlns:a16="http://schemas.microsoft.com/office/drawing/2014/main" id="{B5918333-1AFF-4E31-823D-9B595DAD86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49375" y="0"/>
          <a:ext cx="0" cy="733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0</xdr:colOff>
      <xdr:row>4</xdr:row>
      <xdr:rowOff>0</xdr:rowOff>
    </xdr:from>
    <xdr:to>
      <xdr:col>16</xdr:col>
      <xdr:colOff>0</xdr:colOff>
      <xdr:row>6</xdr:row>
      <xdr:rowOff>0</xdr:rowOff>
    </xdr:to>
    <xdr:pic>
      <xdr:nvPicPr>
        <xdr:cNvPr id="4" name="Imagen_x005f_x005f_x005f_x0020_1" descr="cid:image002.jpg@01CE1999.F4631D30">
          <a:extLst>
            <a:ext uri="{FF2B5EF4-FFF2-40B4-BE49-F238E27FC236}">
              <a16:creationId xmlns:a16="http://schemas.microsoft.com/office/drawing/2014/main" id="{09A1E747-F18A-4B00-9A10-E111B11215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49375" y="0"/>
          <a:ext cx="0" cy="733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0</xdr:colOff>
      <xdr:row>4</xdr:row>
      <xdr:rowOff>0</xdr:rowOff>
    </xdr:from>
    <xdr:to>
      <xdr:col>16</xdr:col>
      <xdr:colOff>0</xdr:colOff>
      <xdr:row>6</xdr:row>
      <xdr:rowOff>0</xdr:rowOff>
    </xdr:to>
    <xdr:pic>
      <xdr:nvPicPr>
        <xdr:cNvPr id="5" name="Imagen_x005f_x005f_x005f_x0020_1" descr="cid:image002.jpg@01CE1999.F4631D30">
          <a:extLst>
            <a:ext uri="{FF2B5EF4-FFF2-40B4-BE49-F238E27FC236}">
              <a16:creationId xmlns:a16="http://schemas.microsoft.com/office/drawing/2014/main" id="{70DB06A6-6317-4A5C-BCC1-A2EA8D915E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49375" y="0"/>
          <a:ext cx="0" cy="733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0</xdr:colOff>
      <xdr:row>4</xdr:row>
      <xdr:rowOff>0</xdr:rowOff>
    </xdr:from>
    <xdr:to>
      <xdr:col>16</xdr:col>
      <xdr:colOff>0</xdr:colOff>
      <xdr:row>6</xdr:row>
      <xdr:rowOff>0</xdr:rowOff>
    </xdr:to>
    <xdr:pic>
      <xdr:nvPicPr>
        <xdr:cNvPr id="6" name="Imagen_x005f_x005f_x005f_x0020_1" descr="cid:image002.jpg@01CE1999.F4631D30">
          <a:extLst>
            <a:ext uri="{FF2B5EF4-FFF2-40B4-BE49-F238E27FC236}">
              <a16:creationId xmlns:a16="http://schemas.microsoft.com/office/drawing/2014/main" id="{26C28F57-AFBC-41A3-8533-DCF258CF9B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49375" y="0"/>
          <a:ext cx="0" cy="733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0</xdr:colOff>
      <xdr:row>4</xdr:row>
      <xdr:rowOff>0</xdr:rowOff>
    </xdr:from>
    <xdr:to>
      <xdr:col>16</xdr:col>
      <xdr:colOff>0</xdr:colOff>
      <xdr:row>6</xdr:row>
      <xdr:rowOff>0</xdr:rowOff>
    </xdr:to>
    <xdr:pic>
      <xdr:nvPicPr>
        <xdr:cNvPr id="7" name="Imagen_x005f_x005f_x005f_x0020_1" descr="cid:image002.jpg@01CE1999.F4631D30">
          <a:extLst>
            <a:ext uri="{FF2B5EF4-FFF2-40B4-BE49-F238E27FC236}">
              <a16:creationId xmlns:a16="http://schemas.microsoft.com/office/drawing/2014/main" id="{F549E43B-0164-46C6-8394-FE090283D1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49375" y="0"/>
          <a:ext cx="0" cy="733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0</xdr:colOff>
      <xdr:row>4</xdr:row>
      <xdr:rowOff>0</xdr:rowOff>
    </xdr:from>
    <xdr:to>
      <xdr:col>16</xdr:col>
      <xdr:colOff>0</xdr:colOff>
      <xdr:row>6</xdr:row>
      <xdr:rowOff>0</xdr:rowOff>
    </xdr:to>
    <xdr:pic>
      <xdr:nvPicPr>
        <xdr:cNvPr id="8" name="Imagen_x005f_x005f_x005f_x0020_1" descr="cid:image002.jpg@01CE1999.F4631D30">
          <a:extLst>
            <a:ext uri="{FF2B5EF4-FFF2-40B4-BE49-F238E27FC236}">
              <a16:creationId xmlns:a16="http://schemas.microsoft.com/office/drawing/2014/main" id="{074DFD3F-CD4E-4DA7-AC6E-19C8C27FDD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49375" y="0"/>
          <a:ext cx="0" cy="733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0</xdr:colOff>
      <xdr:row>4</xdr:row>
      <xdr:rowOff>0</xdr:rowOff>
    </xdr:from>
    <xdr:to>
      <xdr:col>16</xdr:col>
      <xdr:colOff>0</xdr:colOff>
      <xdr:row>6</xdr:row>
      <xdr:rowOff>0</xdr:rowOff>
    </xdr:to>
    <xdr:pic>
      <xdr:nvPicPr>
        <xdr:cNvPr id="9" name="Imagen_x005f_x005f_x005f_x0020_1" descr="cid:image002.jpg@01CE1999.F4631D30">
          <a:extLst>
            <a:ext uri="{FF2B5EF4-FFF2-40B4-BE49-F238E27FC236}">
              <a16:creationId xmlns:a16="http://schemas.microsoft.com/office/drawing/2014/main" id="{899D09A1-3BFC-482B-BE0F-C762410C7C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49375" y="0"/>
          <a:ext cx="0" cy="733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0</xdr:colOff>
      <xdr:row>4</xdr:row>
      <xdr:rowOff>0</xdr:rowOff>
    </xdr:from>
    <xdr:to>
      <xdr:col>16</xdr:col>
      <xdr:colOff>0</xdr:colOff>
      <xdr:row>6</xdr:row>
      <xdr:rowOff>0</xdr:rowOff>
    </xdr:to>
    <xdr:pic>
      <xdr:nvPicPr>
        <xdr:cNvPr id="10" name="Imagen_x005f_x005f_x005f_x0020_1" descr="cid:image002.jpg@01CE1999.F4631D30">
          <a:extLst>
            <a:ext uri="{FF2B5EF4-FFF2-40B4-BE49-F238E27FC236}">
              <a16:creationId xmlns:a16="http://schemas.microsoft.com/office/drawing/2014/main" id="{34D8ABB6-A971-4A08-BFA0-5954EFAB56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49375" y="0"/>
          <a:ext cx="0" cy="733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0</xdr:colOff>
      <xdr:row>4</xdr:row>
      <xdr:rowOff>0</xdr:rowOff>
    </xdr:from>
    <xdr:to>
      <xdr:col>16</xdr:col>
      <xdr:colOff>0</xdr:colOff>
      <xdr:row>6</xdr:row>
      <xdr:rowOff>0</xdr:rowOff>
    </xdr:to>
    <xdr:pic>
      <xdr:nvPicPr>
        <xdr:cNvPr id="11" name="Imagen_x005f_x005f_x005f_x0020_1" descr="cid:image002.jpg@01CE1999.F4631D30">
          <a:extLst>
            <a:ext uri="{FF2B5EF4-FFF2-40B4-BE49-F238E27FC236}">
              <a16:creationId xmlns:a16="http://schemas.microsoft.com/office/drawing/2014/main" id="{2AAB92EB-B93B-402B-9F77-CEA48E3D5D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49375" y="0"/>
          <a:ext cx="0" cy="733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0</xdr:colOff>
      <xdr:row>4</xdr:row>
      <xdr:rowOff>0</xdr:rowOff>
    </xdr:from>
    <xdr:to>
      <xdr:col>16</xdr:col>
      <xdr:colOff>0</xdr:colOff>
      <xdr:row>6</xdr:row>
      <xdr:rowOff>0</xdr:rowOff>
    </xdr:to>
    <xdr:pic>
      <xdr:nvPicPr>
        <xdr:cNvPr id="12" name="Imagen_x005f_x005f_x005f_x0020_1" descr="cid:image002.jpg@01CE1999.F4631D30">
          <a:extLst>
            <a:ext uri="{FF2B5EF4-FFF2-40B4-BE49-F238E27FC236}">
              <a16:creationId xmlns:a16="http://schemas.microsoft.com/office/drawing/2014/main" id="{4B680F9F-B54A-4A12-B341-0D1571C13C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49375" y="0"/>
          <a:ext cx="0" cy="733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0</xdr:colOff>
      <xdr:row>4</xdr:row>
      <xdr:rowOff>0</xdr:rowOff>
    </xdr:from>
    <xdr:to>
      <xdr:col>16</xdr:col>
      <xdr:colOff>0</xdr:colOff>
      <xdr:row>6</xdr:row>
      <xdr:rowOff>0</xdr:rowOff>
    </xdr:to>
    <xdr:pic>
      <xdr:nvPicPr>
        <xdr:cNvPr id="13" name="Imagen_x005f_x005f_x005f_x0020_1" descr="cid:image002.jpg@01CE1999.F4631D30">
          <a:extLst>
            <a:ext uri="{FF2B5EF4-FFF2-40B4-BE49-F238E27FC236}">
              <a16:creationId xmlns:a16="http://schemas.microsoft.com/office/drawing/2014/main" id="{A1BE3D58-9DD9-4F5C-BFE3-83C5A2842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49375" y="0"/>
          <a:ext cx="0" cy="733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85437</xdr:colOff>
      <xdr:row>40</xdr:row>
      <xdr:rowOff>106138</xdr:rowOff>
    </xdr:from>
    <xdr:to>
      <xdr:col>17</xdr:col>
      <xdr:colOff>747346</xdr:colOff>
      <xdr:row>51</xdr:row>
      <xdr:rowOff>154780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1A950507-082F-43C1-B611-C4C2C41077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142418</xdr:colOff>
      <xdr:row>14</xdr:row>
      <xdr:rowOff>126415</xdr:rowOff>
    </xdr:from>
    <xdr:to>
      <xdr:col>18</xdr:col>
      <xdr:colOff>2930</xdr:colOff>
      <xdr:row>26</xdr:row>
      <xdr:rowOff>28575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FB2FB810-2325-4FA9-BAA5-52A7C77954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11</xdr:col>
      <xdr:colOff>119062</xdr:colOff>
      <xdr:row>84</xdr:row>
      <xdr:rowOff>17595</xdr:rowOff>
    </xdr:from>
    <xdr:ext cx="2739798" cy="37580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3C940C42-4EB7-4253-B2CB-A49179EFB2B6}"/>
                </a:ext>
              </a:extLst>
            </xdr:cNvPr>
            <xdr:cNvSpPr txBox="1"/>
          </xdr:nvSpPr>
          <xdr:spPr>
            <a:xfrm>
              <a:off x="9596437" y="16038645"/>
              <a:ext cx="2739798" cy="375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200" b="1" i="1">
                        <a:latin typeface="Cambria Math" panose="02040503050406030204" pitchFamily="18" charset="0"/>
                      </a:rPr>
                      <m:t>𝑼</m:t>
                    </m:r>
                    <m:r>
                      <a:rPr lang="es-PE" sz="1200" b="1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PE" sz="1200" b="1" i="1">
                        <a:latin typeface="Cambria Math" panose="02040503050406030204" pitchFamily="18" charset="0"/>
                      </a:rPr>
                      <m:t>𝟐</m:t>
                    </m:r>
                    <m:r>
                      <a:rPr lang="es-PE" sz="1200" b="1" i="1">
                        <a:latin typeface="Cambria Math" panose="02040503050406030204" pitchFamily="18" charset="0"/>
                      </a:rPr>
                      <m:t>∗</m:t>
                    </m:r>
                    <m:rad>
                      <m:radPr>
                        <m:degHide m:val="on"/>
                        <m:ctrlPr>
                          <a:rPr lang="es-PE" sz="1200" b="1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s-PE" sz="1200" b="1" i="1">
                            <a:latin typeface="Cambria Math" panose="02040503050406030204" pitchFamily="18" charset="0"/>
                          </a:rPr>
                          <m:t>𝒂</m:t>
                        </m:r>
                        <m:sSup>
                          <m:sSupPr>
                            <m:ctrlPr>
                              <a:rPr lang="es-PE" sz="1200" b="1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PE" sz="1200" b="1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PE" sz="1200" b="1" i="1">
                                <a:latin typeface="Cambria Math" panose="02040503050406030204" pitchFamily="18" charset="0"/>
                              </a:rPr>
                              <m:t>𝒈</m:t>
                            </m:r>
                          </m:e>
                          <m:sup>
                            <m:r>
                              <a:rPr lang="es-PE" sz="1200" b="1" i="1">
                                <a:latin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  <m:r>
                          <a:rPr lang="es-PE" sz="1200" b="1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s-PE" sz="1200" b="1" i="1">
                            <a:latin typeface="Cambria Math" panose="02040503050406030204" pitchFamily="18" charset="0"/>
                          </a:rPr>
                          <m:t>𝒃</m:t>
                        </m:r>
                        <m:sSup>
                          <m:sSupPr>
                            <m:ctrlPr>
                              <a:rPr lang="es-PE" sz="1200" b="1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PE" sz="1200" b="1" i="1">
                                <a:latin typeface="Cambria Math" panose="02040503050406030204" pitchFamily="18" charset="0"/>
                              </a:rPr>
                              <m:t>𝑹</m:t>
                            </m:r>
                          </m:e>
                          <m:sup>
                            <m:r>
                              <a:rPr lang="es-PE" sz="1200" b="1" i="1">
                                <a:latin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</m:e>
                    </m:rad>
                  </m:oMath>
                </m:oMathPara>
              </a14:m>
              <a:endParaRPr lang="es-PE" sz="1100" b="1"/>
            </a:p>
          </xdr:txBody>
        </xdr:sp>
      </mc:Choice>
      <mc:Fallback xmlns="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3C940C42-4EB7-4253-B2CB-A49179EFB2B6}"/>
                </a:ext>
              </a:extLst>
            </xdr:cNvPr>
            <xdr:cNvSpPr txBox="1"/>
          </xdr:nvSpPr>
          <xdr:spPr>
            <a:xfrm>
              <a:off x="9596437" y="16038645"/>
              <a:ext cx="2739798" cy="375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PE" sz="1200" b="1" i="0">
                  <a:latin typeface="Cambria Math" panose="02040503050406030204" pitchFamily="18" charset="0"/>
                </a:rPr>
                <a:t>𝑼=𝟐∗√(𝒂〖 𝒈〗^𝟐+𝒃𝑹^𝟐 )</a:t>
              </a:r>
              <a:endParaRPr lang="es-PE" sz="1100" b="1"/>
            </a:p>
          </xdr:txBody>
        </xdr:sp>
      </mc:Fallback>
    </mc:AlternateContent>
    <xdr:clientData/>
  </xdr:oneCellAnchor>
  <xdr:oneCellAnchor>
    <xdr:from>
      <xdr:col>15</xdr:col>
      <xdr:colOff>119062</xdr:colOff>
      <xdr:row>84</xdr:row>
      <xdr:rowOff>17595</xdr:rowOff>
    </xdr:from>
    <xdr:ext cx="2739798" cy="37580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CuadroTexto 16">
              <a:extLst>
                <a:ext uri="{FF2B5EF4-FFF2-40B4-BE49-F238E27FC236}">
                  <a16:creationId xmlns:a16="http://schemas.microsoft.com/office/drawing/2014/main" id="{79C1F101-7B70-4ACE-8FC8-E52F6EB15264}"/>
                </a:ext>
              </a:extLst>
            </xdr:cNvPr>
            <xdr:cNvSpPr txBox="1"/>
          </xdr:nvSpPr>
          <xdr:spPr>
            <a:xfrm>
              <a:off x="13254037" y="16038645"/>
              <a:ext cx="2739798" cy="375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200" b="1" i="1">
                        <a:latin typeface="Cambria Math" panose="02040503050406030204" pitchFamily="18" charset="0"/>
                      </a:rPr>
                      <m:t>𝒖</m:t>
                    </m:r>
                    <m:r>
                      <a:rPr lang="es-PE" sz="1200" b="1" i="1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s-PE" sz="1200" b="1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s-PE" sz="1200" b="1" i="1">
                            <a:latin typeface="Cambria Math" panose="02040503050406030204" pitchFamily="18" charset="0"/>
                          </a:rPr>
                          <m:t>𝒂</m:t>
                        </m:r>
                        <m:sSup>
                          <m:sSupPr>
                            <m:ctrlPr>
                              <a:rPr lang="es-PE" sz="1200" b="1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PE" sz="1200" b="1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PE" sz="1200" b="1" i="1">
                                <a:latin typeface="Cambria Math" panose="02040503050406030204" pitchFamily="18" charset="0"/>
                              </a:rPr>
                              <m:t>𝒈</m:t>
                            </m:r>
                          </m:e>
                          <m:sup>
                            <m:r>
                              <a:rPr lang="es-PE" sz="1200" b="1" i="1">
                                <a:latin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  <m:r>
                          <a:rPr lang="es-PE" sz="1200" b="1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s-PE" sz="1200" b="1" i="1">
                            <a:latin typeface="Cambria Math" panose="02040503050406030204" pitchFamily="18" charset="0"/>
                          </a:rPr>
                          <m:t>𝒃</m:t>
                        </m:r>
                        <m:sSup>
                          <m:sSupPr>
                            <m:ctrlPr>
                              <a:rPr lang="es-PE" sz="1200" b="1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PE" sz="1200" b="1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PE" sz="1200" b="1" i="1">
                                <a:latin typeface="Cambria Math" panose="02040503050406030204" pitchFamily="18" charset="0"/>
                              </a:rPr>
                              <m:t>𝑹</m:t>
                            </m:r>
                          </m:e>
                          <m:sup>
                            <m:r>
                              <a:rPr lang="es-PE" sz="1200" b="1" i="1">
                                <a:latin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</m:e>
                    </m:rad>
                  </m:oMath>
                </m:oMathPara>
              </a14:m>
              <a:endParaRPr lang="es-PE" sz="1100" b="1"/>
            </a:p>
          </xdr:txBody>
        </xdr:sp>
      </mc:Choice>
      <mc:Fallback xmlns="">
        <xdr:sp macro="" textlink="">
          <xdr:nvSpPr>
            <xdr:cNvPr id="17" name="CuadroTexto 16">
              <a:extLst>
                <a:ext uri="{FF2B5EF4-FFF2-40B4-BE49-F238E27FC236}">
                  <a16:creationId xmlns:a16="http://schemas.microsoft.com/office/drawing/2014/main" id="{79C1F101-7B70-4ACE-8FC8-E52F6EB15264}"/>
                </a:ext>
              </a:extLst>
            </xdr:cNvPr>
            <xdr:cNvSpPr txBox="1"/>
          </xdr:nvSpPr>
          <xdr:spPr>
            <a:xfrm>
              <a:off x="13254037" y="16038645"/>
              <a:ext cx="2739798" cy="375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PE" sz="1200" b="1" i="0">
                  <a:latin typeface="Cambria Math" panose="02040503050406030204" pitchFamily="18" charset="0"/>
                </a:rPr>
                <a:t>𝒖=√(𝒂〖 𝒈〗^𝟐+𝒃〖 𝑹〗^𝟐 )</a:t>
              </a:r>
              <a:endParaRPr lang="es-PE" sz="1100" b="1"/>
            </a:p>
          </xdr:txBody>
        </xdr:sp>
      </mc:Fallback>
    </mc:AlternateContent>
    <xdr:clientData/>
  </xdr:oneCellAnchor>
  <xdr:twoCellAnchor editAs="oneCell">
    <xdr:from>
      <xdr:col>12</xdr:col>
      <xdr:colOff>476250</xdr:colOff>
      <xdr:row>75</xdr:row>
      <xdr:rowOff>95250</xdr:rowOff>
    </xdr:from>
    <xdr:to>
      <xdr:col>16</xdr:col>
      <xdr:colOff>820170</xdr:colOff>
      <xdr:row>79</xdr:row>
      <xdr:rowOff>170472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4421BFC4-C82E-49E8-865B-20F3A34BF3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868025" y="14763750"/>
          <a:ext cx="3998799" cy="839943"/>
        </a:xfrm>
        <a:prstGeom prst="rect">
          <a:avLst/>
        </a:prstGeom>
      </xdr:spPr>
    </xdr:pic>
    <xdr:clientData/>
  </xdr:twoCellAnchor>
  <xdr:twoCellAnchor>
    <xdr:from>
      <xdr:col>1</xdr:col>
      <xdr:colOff>285750</xdr:colOff>
      <xdr:row>0</xdr:row>
      <xdr:rowOff>31750</xdr:rowOff>
    </xdr:from>
    <xdr:to>
      <xdr:col>2</xdr:col>
      <xdr:colOff>418272</xdr:colOff>
      <xdr:row>3</xdr:row>
      <xdr:rowOff>86967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71B82E68-FDAA-400C-BDFC-9A77555BEE79}"/>
            </a:ext>
          </a:extLst>
        </xdr:cNvPr>
        <xdr:cNvGrpSpPr/>
      </xdr:nvGrpSpPr>
      <xdr:grpSpPr>
        <a:xfrm>
          <a:off x="599515" y="31750"/>
          <a:ext cx="1238169" cy="548276"/>
          <a:chOff x="4434417" y="5259917"/>
          <a:chExt cx="1332206" cy="800029"/>
        </a:xfrm>
      </xdr:grpSpPr>
      <xdr:pic>
        <xdr:nvPicPr>
          <xdr:cNvPr id="20" name="Imagen 19">
            <a:extLst>
              <a:ext uri="{FF2B5EF4-FFF2-40B4-BE49-F238E27FC236}">
                <a16:creationId xmlns:a16="http://schemas.microsoft.com/office/drawing/2014/main" id="{0040468F-6DCC-D8BC-736E-920FF82F463F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1888" t="17864" r="11097" b="19089"/>
          <a:stretch>
            <a:fillRect/>
          </a:stretch>
        </xdr:blipFill>
        <xdr:spPr bwMode="auto">
          <a:xfrm>
            <a:off x="4434417" y="5259917"/>
            <a:ext cx="1332206" cy="536363"/>
          </a:xfrm>
          <a:prstGeom prst="rect">
            <a:avLst/>
          </a:prstGeom>
          <a:noFill/>
          <a:ln>
            <a:noFill/>
          </a:ln>
          <a:extLst>
            <a:ext uri="{53640926-AAD7-44D8-BBD7-CCE9431645EC}">
              <a14:shadowObscured xmlns:a14="http://schemas.microsoft.com/office/drawing/2010/main"/>
            </a:ext>
          </a:extLst>
        </xdr:spPr>
      </xdr:pic>
      <xdr:pic>
        <xdr:nvPicPr>
          <xdr:cNvPr id="21" name="Imagen 20">
            <a:extLst>
              <a:ext uri="{FF2B5EF4-FFF2-40B4-BE49-F238E27FC236}">
                <a16:creationId xmlns:a16="http://schemas.microsoft.com/office/drawing/2014/main" id="{F8BF1221-9449-B0C9-0C85-CC4F3A5300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561577" y="5803250"/>
            <a:ext cx="982775" cy="256696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50800</xdr:rowOff>
    </xdr:from>
    <xdr:to>
      <xdr:col>1</xdr:col>
      <xdr:colOff>876300</xdr:colOff>
      <xdr:row>3</xdr:row>
      <xdr:rowOff>106017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144427A8-9882-40C1-8C3C-BA5BBDBF3327}"/>
            </a:ext>
          </a:extLst>
        </xdr:cNvPr>
        <xdr:cNvGrpSpPr/>
      </xdr:nvGrpSpPr>
      <xdr:grpSpPr>
        <a:xfrm>
          <a:off x="161924" y="50800"/>
          <a:ext cx="1069976" cy="550517"/>
          <a:chOff x="4434417" y="5259917"/>
          <a:chExt cx="1332206" cy="800029"/>
        </a:xfrm>
      </xdr:grpSpPr>
      <xdr:pic>
        <xdr:nvPicPr>
          <xdr:cNvPr id="4" name="Imagen 3">
            <a:extLst>
              <a:ext uri="{FF2B5EF4-FFF2-40B4-BE49-F238E27FC236}">
                <a16:creationId xmlns:a16="http://schemas.microsoft.com/office/drawing/2014/main" id="{A34E30F8-BA1F-2229-5A60-7040DB08A9C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1888" t="17864" r="11097" b="19089"/>
          <a:stretch>
            <a:fillRect/>
          </a:stretch>
        </xdr:blipFill>
        <xdr:spPr bwMode="auto">
          <a:xfrm>
            <a:off x="4434417" y="5259917"/>
            <a:ext cx="1332206" cy="536363"/>
          </a:xfrm>
          <a:prstGeom prst="rect">
            <a:avLst/>
          </a:prstGeom>
          <a:noFill/>
          <a:ln>
            <a:noFill/>
          </a:ln>
          <a:extLst>
            <a:ext uri="{53640926-AAD7-44D8-BBD7-CCE9431645EC}">
              <a14:shadowObscured xmlns:a14="http://schemas.microsoft.com/office/drawing/2010/main"/>
            </a:ext>
          </a:extLst>
        </xdr:spPr>
      </xdr:pic>
      <xdr:pic>
        <xdr:nvPicPr>
          <xdr:cNvPr id="5" name="Imagen 4">
            <a:extLst>
              <a:ext uri="{FF2B5EF4-FFF2-40B4-BE49-F238E27FC236}">
                <a16:creationId xmlns:a16="http://schemas.microsoft.com/office/drawing/2014/main" id="{927F0C35-AF19-260D-4496-2598E68880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561577" y="5803250"/>
            <a:ext cx="982775" cy="256696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Q97"/>
  <sheetViews>
    <sheetView showGridLines="0" tabSelected="1" view="pageBreakPreview" zoomScaleNormal="85" zoomScaleSheetLayoutView="100" workbookViewId="0">
      <selection activeCell="F95" sqref="F95"/>
    </sheetView>
  </sheetViews>
  <sheetFormatPr baseColWidth="10" defaultColWidth="11.33203125" defaultRowHeight="13"/>
  <cols>
    <col min="1" max="1" width="4.1640625" style="212" customWidth="1"/>
    <col min="2" max="2" width="14.5" style="212" customWidth="1"/>
    <col min="3" max="4" width="13.6640625" style="212" customWidth="1"/>
    <col min="5" max="5" width="13.6640625" style="217" customWidth="1"/>
    <col min="6" max="7" width="13.6640625" style="212" customWidth="1"/>
    <col min="8" max="11" width="13.6640625" style="217" customWidth="1"/>
    <col min="12" max="14" width="13.6640625" style="212" customWidth="1"/>
    <col min="15" max="17" width="13.6640625" style="217" customWidth="1"/>
    <col min="18" max="18" width="11.6640625" style="211" bestFit="1" customWidth="1"/>
    <col min="19" max="19" width="8.33203125" style="211" customWidth="1"/>
    <col min="20" max="24" width="8.33203125" style="212" customWidth="1"/>
    <col min="25" max="26" width="8.33203125" style="211" customWidth="1"/>
    <col min="27" max="33" width="9" style="211" customWidth="1"/>
    <col min="34" max="41" width="9" style="212" customWidth="1"/>
    <col min="42" max="255" width="11.33203125" style="212"/>
    <col min="256" max="256" width="5.33203125" style="212" customWidth="1"/>
    <col min="257" max="257" width="12.6640625" style="212" customWidth="1"/>
    <col min="258" max="258" width="11.33203125" style="212" customWidth="1"/>
    <col min="259" max="259" width="11" style="212" customWidth="1"/>
    <col min="260" max="260" width="8.6640625" style="212" customWidth="1"/>
    <col min="261" max="261" width="8.83203125" style="212" customWidth="1"/>
    <col min="262" max="262" width="8.5" style="212" customWidth="1"/>
    <col min="263" max="263" width="8" style="212" customWidth="1"/>
    <col min="264" max="264" width="9.33203125" style="212" customWidth="1"/>
    <col min="265" max="265" width="8.33203125" style="212" customWidth="1"/>
    <col min="266" max="266" width="11" style="212" customWidth="1"/>
    <col min="267" max="267" width="10.6640625" style="212" customWidth="1"/>
    <col min="268" max="268" width="10.33203125" style="212" customWidth="1"/>
    <col min="269" max="271" width="8.6640625" style="212" customWidth="1"/>
    <col min="272" max="511" width="11.33203125" style="212"/>
    <col min="512" max="512" width="5.33203125" style="212" customWidth="1"/>
    <col min="513" max="513" width="12.6640625" style="212" customWidth="1"/>
    <col min="514" max="514" width="11.33203125" style="212" customWidth="1"/>
    <col min="515" max="515" width="11" style="212" customWidth="1"/>
    <col min="516" max="516" width="8.6640625" style="212" customWidth="1"/>
    <col min="517" max="517" width="8.83203125" style="212" customWidth="1"/>
    <col min="518" max="518" width="8.5" style="212" customWidth="1"/>
    <col min="519" max="519" width="8" style="212" customWidth="1"/>
    <col min="520" max="520" width="9.33203125" style="212" customWidth="1"/>
    <col min="521" max="521" width="8.33203125" style="212" customWidth="1"/>
    <col min="522" max="522" width="11" style="212" customWidth="1"/>
    <col min="523" max="523" width="10.6640625" style="212" customWidth="1"/>
    <col min="524" max="524" width="10.33203125" style="212" customWidth="1"/>
    <col min="525" max="527" width="8.6640625" style="212" customWidth="1"/>
    <col min="528" max="767" width="11.33203125" style="212"/>
    <col min="768" max="768" width="5.33203125" style="212" customWidth="1"/>
    <col min="769" max="769" width="12.6640625" style="212" customWidth="1"/>
    <col min="770" max="770" width="11.33203125" style="212" customWidth="1"/>
    <col min="771" max="771" width="11" style="212" customWidth="1"/>
    <col min="772" max="772" width="8.6640625" style="212" customWidth="1"/>
    <col min="773" max="773" width="8.83203125" style="212" customWidth="1"/>
    <col min="774" max="774" width="8.5" style="212" customWidth="1"/>
    <col min="775" max="775" width="8" style="212" customWidth="1"/>
    <col min="776" max="776" width="9.33203125" style="212" customWidth="1"/>
    <col min="777" max="777" width="8.33203125" style="212" customWidth="1"/>
    <col min="778" max="778" width="11" style="212" customWidth="1"/>
    <col min="779" max="779" width="10.6640625" style="212" customWidth="1"/>
    <col min="780" max="780" width="10.33203125" style="212" customWidth="1"/>
    <col min="781" max="783" width="8.6640625" style="212" customWidth="1"/>
    <col min="784" max="1023" width="11.33203125" style="212"/>
    <col min="1024" max="1024" width="5.33203125" style="212" customWidth="1"/>
    <col min="1025" max="1025" width="12.6640625" style="212" customWidth="1"/>
    <col min="1026" max="1026" width="11.33203125" style="212" customWidth="1"/>
    <col min="1027" max="1027" width="11" style="212" customWidth="1"/>
    <col min="1028" max="1028" width="8.6640625" style="212" customWidth="1"/>
    <col min="1029" max="1029" width="8.83203125" style="212" customWidth="1"/>
    <col min="1030" max="1030" width="8.5" style="212" customWidth="1"/>
    <col min="1031" max="1031" width="8" style="212" customWidth="1"/>
    <col min="1032" max="1032" width="9.33203125" style="212" customWidth="1"/>
    <col min="1033" max="1033" width="8.33203125" style="212" customWidth="1"/>
    <col min="1034" max="1034" width="11" style="212" customWidth="1"/>
    <col min="1035" max="1035" width="10.6640625" style="212" customWidth="1"/>
    <col min="1036" max="1036" width="10.33203125" style="212" customWidth="1"/>
    <col min="1037" max="1039" width="8.6640625" style="212" customWidth="1"/>
    <col min="1040" max="1279" width="11.33203125" style="212"/>
    <col min="1280" max="1280" width="5.33203125" style="212" customWidth="1"/>
    <col min="1281" max="1281" width="12.6640625" style="212" customWidth="1"/>
    <col min="1282" max="1282" width="11.33203125" style="212" customWidth="1"/>
    <col min="1283" max="1283" width="11" style="212" customWidth="1"/>
    <col min="1284" max="1284" width="8.6640625" style="212" customWidth="1"/>
    <col min="1285" max="1285" width="8.83203125" style="212" customWidth="1"/>
    <col min="1286" max="1286" width="8.5" style="212" customWidth="1"/>
    <col min="1287" max="1287" width="8" style="212" customWidth="1"/>
    <col min="1288" max="1288" width="9.33203125" style="212" customWidth="1"/>
    <col min="1289" max="1289" width="8.33203125" style="212" customWidth="1"/>
    <col min="1290" max="1290" width="11" style="212" customWidth="1"/>
    <col min="1291" max="1291" width="10.6640625" style="212" customWidth="1"/>
    <col min="1292" max="1292" width="10.33203125" style="212" customWidth="1"/>
    <col min="1293" max="1295" width="8.6640625" style="212" customWidth="1"/>
    <col min="1296" max="1535" width="11.33203125" style="212"/>
    <col min="1536" max="1536" width="5.33203125" style="212" customWidth="1"/>
    <col min="1537" max="1537" width="12.6640625" style="212" customWidth="1"/>
    <col min="1538" max="1538" width="11.33203125" style="212" customWidth="1"/>
    <col min="1539" max="1539" width="11" style="212" customWidth="1"/>
    <col min="1540" max="1540" width="8.6640625" style="212" customWidth="1"/>
    <col min="1541" max="1541" width="8.83203125" style="212" customWidth="1"/>
    <col min="1542" max="1542" width="8.5" style="212" customWidth="1"/>
    <col min="1543" max="1543" width="8" style="212" customWidth="1"/>
    <col min="1544" max="1544" width="9.33203125" style="212" customWidth="1"/>
    <col min="1545" max="1545" width="8.33203125" style="212" customWidth="1"/>
    <col min="1546" max="1546" width="11" style="212" customWidth="1"/>
    <col min="1547" max="1547" width="10.6640625" style="212" customWidth="1"/>
    <col min="1548" max="1548" width="10.33203125" style="212" customWidth="1"/>
    <col min="1549" max="1551" width="8.6640625" style="212" customWidth="1"/>
    <col min="1552" max="1791" width="11.33203125" style="212"/>
    <col min="1792" max="1792" width="5.33203125" style="212" customWidth="1"/>
    <col min="1793" max="1793" width="12.6640625" style="212" customWidth="1"/>
    <col min="1794" max="1794" width="11.33203125" style="212" customWidth="1"/>
    <col min="1795" max="1795" width="11" style="212" customWidth="1"/>
    <col min="1796" max="1796" width="8.6640625" style="212" customWidth="1"/>
    <col min="1797" max="1797" width="8.83203125" style="212" customWidth="1"/>
    <col min="1798" max="1798" width="8.5" style="212" customWidth="1"/>
    <col min="1799" max="1799" width="8" style="212" customWidth="1"/>
    <col min="1800" max="1800" width="9.33203125" style="212" customWidth="1"/>
    <col min="1801" max="1801" width="8.33203125" style="212" customWidth="1"/>
    <col min="1802" max="1802" width="11" style="212" customWidth="1"/>
    <col min="1803" max="1803" width="10.6640625" style="212" customWidth="1"/>
    <col min="1804" max="1804" width="10.33203125" style="212" customWidth="1"/>
    <col min="1805" max="1807" width="8.6640625" style="212" customWidth="1"/>
    <col min="1808" max="2047" width="11.33203125" style="212"/>
    <col min="2048" max="2048" width="5.33203125" style="212" customWidth="1"/>
    <col min="2049" max="2049" width="12.6640625" style="212" customWidth="1"/>
    <col min="2050" max="2050" width="11.33203125" style="212" customWidth="1"/>
    <col min="2051" max="2051" width="11" style="212" customWidth="1"/>
    <col min="2052" max="2052" width="8.6640625" style="212" customWidth="1"/>
    <col min="2053" max="2053" width="8.83203125" style="212" customWidth="1"/>
    <col min="2054" max="2054" width="8.5" style="212" customWidth="1"/>
    <col min="2055" max="2055" width="8" style="212" customWidth="1"/>
    <col min="2056" max="2056" width="9.33203125" style="212" customWidth="1"/>
    <col min="2057" max="2057" width="8.33203125" style="212" customWidth="1"/>
    <col min="2058" max="2058" width="11" style="212" customWidth="1"/>
    <col min="2059" max="2059" width="10.6640625" style="212" customWidth="1"/>
    <col min="2060" max="2060" width="10.33203125" style="212" customWidth="1"/>
    <col min="2061" max="2063" width="8.6640625" style="212" customWidth="1"/>
    <col min="2064" max="2303" width="11.33203125" style="212"/>
    <col min="2304" max="2304" width="5.33203125" style="212" customWidth="1"/>
    <col min="2305" max="2305" width="12.6640625" style="212" customWidth="1"/>
    <col min="2306" max="2306" width="11.33203125" style="212" customWidth="1"/>
    <col min="2307" max="2307" width="11" style="212" customWidth="1"/>
    <col min="2308" max="2308" width="8.6640625" style="212" customWidth="1"/>
    <col min="2309" max="2309" width="8.83203125" style="212" customWidth="1"/>
    <col min="2310" max="2310" width="8.5" style="212" customWidth="1"/>
    <col min="2311" max="2311" width="8" style="212" customWidth="1"/>
    <col min="2312" max="2312" width="9.33203125" style="212" customWidth="1"/>
    <col min="2313" max="2313" width="8.33203125" style="212" customWidth="1"/>
    <col min="2314" max="2314" width="11" style="212" customWidth="1"/>
    <col min="2315" max="2315" width="10.6640625" style="212" customWidth="1"/>
    <col min="2316" max="2316" width="10.33203125" style="212" customWidth="1"/>
    <col min="2317" max="2319" width="8.6640625" style="212" customWidth="1"/>
    <col min="2320" max="2559" width="11.33203125" style="212"/>
    <col min="2560" max="2560" width="5.33203125" style="212" customWidth="1"/>
    <col min="2561" max="2561" width="12.6640625" style="212" customWidth="1"/>
    <col min="2562" max="2562" width="11.33203125" style="212" customWidth="1"/>
    <col min="2563" max="2563" width="11" style="212" customWidth="1"/>
    <col min="2564" max="2564" width="8.6640625" style="212" customWidth="1"/>
    <col min="2565" max="2565" width="8.83203125" style="212" customWidth="1"/>
    <col min="2566" max="2566" width="8.5" style="212" customWidth="1"/>
    <col min="2567" max="2567" width="8" style="212" customWidth="1"/>
    <col min="2568" max="2568" width="9.33203125" style="212" customWidth="1"/>
    <col min="2569" max="2569" width="8.33203125" style="212" customWidth="1"/>
    <col min="2570" max="2570" width="11" style="212" customWidth="1"/>
    <col min="2571" max="2571" width="10.6640625" style="212" customWidth="1"/>
    <col min="2572" max="2572" width="10.33203125" style="212" customWidth="1"/>
    <col min="2573" max="2575" width="8.6640625" style="212" customWidth="1"/>
    <col min="2576" max="2815" width="11.33203125" style="212"/>
    <col min="2816" max="2816" width="5.33203125" style="212" customWidth="1"/>
    <col min="2817" max="2817" width="12.6640625" style="212" customWidth="1"/>
    <col min="2818" max="2818" width="11.33203125" style="212" customWidth="1"/>
    <col min="2819" max="2819" width="11" style="212" customWidth="1"/>
    <col min="2820" max="2820" width="8.6640625" style="212" customWidth="1"/>
    <col min="2821" max="2821" width="8.83203125" style="212" customWidth="1"/>
    <col min="2822" max="2822" width="8.5" style="212" customWidth="1"/>
    <col min="2823" max="2823" width="8" style="212" customWidth="1"/>
    <col min="2824" max="2824" width="9.33203125" style="212" customWidth="1"/>
    <col min="2825" max="2825" width="8.33203125" style="212" customWidth="1"/>
    <col min="2826" max="2826" width="11" style="212" customWidth="1"/>
    <col min="2827" max="2827" width="10.6640625" style="212" customWidth="1"/>
    <col min="2828" max="2828" width="10.33203125" style="212" customWidth="1"/>
    <col min="2829" max="2831" width="8.6640625" style="212" customWidth="1"/>
    <col min="2832" max="3071" width="11.33203125" style="212"/>
    <col min="3072" max="3072" width="5.33203125" style="212" customWidth="1"/>
    <col min="3073" max="3073" width="12.6640625" style="212" customWidth="1"/>
    <col min="3074" max="3074" width="11.33203125" style="212" customWidth="1"/>
    <col min="3075" max="3075" width="11" style="212" customWidth="1"/>
    <col min="3076" max="3076" width="8.6640625" style="212" customWidth="1"/>
    <col min="3077" max="3077" width="8.83203125" style="212" customWidth="1"/>
    <col min="3078" max="3078" width="8.5" style="212" customWidth="1"/>
    <col min="3079" max="3079" width="8" style="212" customWidth="1"/>
    <col min="3080" max="3080" width="9.33203125" style="212" customWidth="1"/>
    <col min="3081" max="3081" width="8.33203125" style="212" customWidth="1"/>
    <col min="3082" max="3082" width="11" style="212" customWidth="1"/>
    <col min="3083" max="3083" width="10.6640625" style="212" customWidth="1"/>
    <col min="3084" max="3084" width="10.33203125" style="212" customWidth="1"/>
    <col min="3085" max="3087" width="8.6640625" style="212" customWidth="1"/>
    <col min="3088" max="3327" width="11.33203125" style="212"/>
    <col min="3328" max="3328" width="5.33203125" style="212" customWidth="1"/>
    <col min="3329" max="3329" width="12.6640625" style="212" customWidth="1"/>
    <col min="3330" max="3330" width="11.33203125" style="212" customWidth="1"/>
    <col min="3331" max="3331" width="11" style="212" customWidth="1"/>
    <col min="3332" max="3332" width="8.6640625" style="212" customWidth="1"/>
    <col min="3333" max="3333" width="8.83203125" style="212" customWidth="1"/>
    <col min="3334" max="3334" width="8.5" style="212" customWidth="1"/>
    <col min="3335" max="3335" width="8" style="212" customWidth="1"/>
    <col min="3336" max="3336" width="9.33203125" style="212" customWidth="1"/>
    <col min="3337" max="3337" width="8.33203125" style="212" customWidth="1"/>
    <col min="3338" max="3338" width="11" style="212" customWidth="1"/>
    <col min="3339" max="3339" width="10.6640625" style="212" customWidth="1"/>
    <col min="3340" max="3340" width="10.33203125" style="212" customWidth="1"/>
    <col min="3341" max="3343" width="8.6640625" style="212" customWidth="1"/>
    <col min="3344" max="3583" width="11.33203125" style="212"/>
    <col min="3584" max="3584" width="5.33203125" style="212" customWidth="1"/>
    <col min="3585" max="3585" width="12.6640625" style="212" customWidth="1"/>
    <col min="3586" max="3586" width="11.33203125" style="212" customWidth="1"/>
    <col min="3587" max="3587" width="11" style="212" customWidth="1"/>
    <col min="3588" max="3588" width="8.6640625" style="212" customWidth="1"/>
    <col min="3589" max="3589" width="8.83203125" style="212" customWidth="1"/>
    <col min="3590" max="3590" width="8.5" style="212" customWidth="1"/>
    <col min="3591" max="3591" width="8" style="212" customWidth="1"/>
    <col min="3592" max="3592" width="9.33203125" style="212" customWidth="1"/>
    <col min="3593" max="3593" width="8.33203125" style="212" customWidth="1"/>
    <col min="3594" max="3594" width="11" style="212" customWidth="1"/>
    <col min="3595" max="3595" width="10.6640625" style="212" customWidth="1"/>
    <col min="3596" max="3596" width="10.33203125" style="212" customWidth="1"/>
    <col min="3597" max="3599" width="8.6640625" style="212" customWidth="1"/>
    <col min="3600" max="3839" width="11.33203125" style="212"/>
    <col min="3840" max="3840" width="5.33203125" style="212" customWidth="1"/>
    <col min="3841" max="3841" width="12.6640625" style="212" customWidth="1"/>
    <col min="3842" max="3842" width="11.33203125" style="212" customWidth="1"/>
    <col min="3843" max="3843" width="11" style="212" customWidth="1"/>
    <col min="3844" max="3844" width="8.6640625" style="212" customWidth="1"/>
    <col min="3845" max="3845" width="8.83203125" style="212" customWidth="1"/>
    <col min="3846" max="3846" width="8.5" style="212" customWidth="1"/>
    <col min="3847" max="3847" width="8" style="212" customWidth="1"/>
    <col min="3848" max="3848" width="9.33203125" style="212" customWidth="1"/>
    <col min="3849" max="3849" width="8.33203125" style="212" customWidth="1"/>
    <col min="3850" max="3850" width="11" style="212" customWidth="1"/>
    <col min="3851" max="3851" width="10.6640625" style="212" customWidth="1"/>
    <col min="3852" max="3852" width="10.33203125" style="212" customWidth="1"/>
    <col min="3853" max="3855" width="8.6640625" style="212" customWidth="1"/>
    <col min="3856" max="4095" width="11.33203125" style="212"/>
    <col min="4096" max="4096" width="5.33203125" style="212" customWidth="1"/>
    <col min="4097" max="4097" width="12.6640625" style="212" customWidth="1"/>
    <col min="4098" max="4098" width="11.33203125" style="212" customWidth="1"/>
    <col min="4099" max="4099" width="11" style="212" customWidth="1"/>
    <col min="4100" max="4100" width="8.6640625" style="212" customWidth="1"/>
    <col min="4101" max="4101" width="8.83203125" style="212" customWidth="1"/>
    <col min="4102" max="4102" width="8.5" style="212" customWidth="1"/>
    <col min="4103" max="4103" width="8" style="212" customWidth="1"/>
    <col min="4104" max="4104" width="9.33203125" style="212" customWidth="1"/>
    <col min="4105" max="4105" width="8.33203125" style="212" customWidth="1"/>
    <col min="4106" max="4106" width="11" style="212" customWidth="1"/>
    <col min="4107" max="4107" width="10.6640625" style="212" customWidth="1"/>
    <col min="4108" max="4108" width="10.33203125" style="212" customWidth="1"/>
    <col min="4109" max="4111" width="8.6640625" style="212" customWidth="1"/>
    <col min="4112" max="4351" width="11.33203125" style="212"/>
    <col min="4352" max="4352" width="5.33203125" style="212" customWidth="1"/>
    <col min="4353" max="4353" width="12.6640625" style="212" customWidth="1"/>
    <col min="4354" max="4354" width="11.33203125" style="212" customWidth="1"/>
    <col min="4355" max="4355" width="11" style="212" customWidth="1"/>
    <col min="4356" max="4356" width="8.6640625" style="212" customWidth="1"/>
    <col min="4357" max="4357" width="8.83203125" style="212" customWidth="1"/>
    <col min="4358" max="4358" width="8.5" style="212" customWidth="1"/>
    <col min="4359" max="4359" width="8" style="212" customWidth="1"/>
    <col min="4360" max="4360" width="9.33203125" style="212" customWidth="1"/>
    <col min="4361" max="4361" width="8.33203125" style="212" customWidth="1"/>
    <col min="4362" max="4362" width="11" style="212" customWidth="1"/>
    <col min="4363" max="4363" width="10.6640625" style="212" customWidth="1"/>
    <col min="4364" max="4364" width="10.33203125" style="212" customWidth="1"/>
    <col min="4365" max="4367" width="8.6640625" style="212" customWidth="1"/>
    <col min="4368" max="4607" width="11.33203125" style="212"/>
    <col min="4608" max="4608" width="5.33203125" style="212" customWidth="1"/>
    <col min="4609" max="4609" width="12.6640625" style="212" customWidth="1"/>
    <col min="4610" max="4610" width="11.33203125" style="212" customWidth="1"/>
    <col min="4611" max="4611" width="11" style="212" customWidth="1"/>
    <col min="4612" max="4612" width="8.6640625" style="212" customWidth="1"/>
    <col min="4613" max="4613" width="8.83203125" style="212" customWidth="1"/>
    <col min="4614" max="4614" width="8.5" style="212" customWidth="1"/>
    <col min="4615" max="4615" width="8" style="212" customWidth="1"/>
    <col min="4616" max="4616" width="9.33203125" style="212" customWidth="1"/>
    <col min="4617" max="4617" width="8.33203125" style="212" customWidth="1"/>
    <col min="4618" max="4618" width="11" style="212" customWidth="1"/>
    <col min="4619" max="4619" width="10.6640625" style="212" customWidth="1"/>
    <col min="4620" max="4620" width="10.33203125" style="212" customWidth="1"/>
    <col min="4621" max="4623" width="8.6640625" style="212" customWidth="1"/>
    <col min="4624" max="4863" width="11.33203125" style="212"/>
    <col min="4864" max="4864" width="5.33203125" style="212" customWidth="1"/>
    <col min="4865" max="4865" width="12.6640625" style="212" customWidth="1"/>
    <col min="4866" max="4866" width="11.33203125" style="212" customWidth="1"/>
    <col min="4867" max="4867" width="11" style="212" customWidth="1"/>
    <col min="4868" max="4868" width="8.6640625" style="212" customWidth="1"/>
    <col min="4869" max="4869" width="8.83203125" style="212" customWidth="1"/>
    <col min="4870" max="4870" width="8.5" style="212" customWidth="1"/>
    <col min="4871" max="4871" width="8" style="212" customWidth="1"/>
    <col min="4872" max="4872" width="9.33203125" style="212" customWidth="1"/>
    <col min="4873" max="4873" width="8.33203125" style="212" customWidth="1"/>
    <col min="4874" max="4874" width="11" style="212" customWidth="1"/>
    <col min="4875" max="4875" width="10.6640625" style="212" customWidth="1"/>
    <col min="4876" max="4876" width="10.33203125" style="212" customWidth="1"/>
    <col min="4877" max="4879" width="8.6640625" style="212" customWidth="1"/>
    <col min="4880" max="5119" width="11.33203125" style="212"/>
    <col min="5120" max="5120" width="5.33203125" style="212" customWidth="1"/>
    <col min="5121" max="5121" width="12.6640625" style="212" customWidth="1"/>
    <col min="5122" max="5122" width="11.33203125" style="212" customWidth="1"/>
    <col min="5123" max="5123" width="11" style="212" customWidth="1"/>
    <col min="5124" max="5124" width="8.6640625" style="212" customWidth="1"/>
    <col min="5125" max="5125" width="8.83203125" style="212" customWidth="1"/>
    <col min="5126" max="5126" width="8.5" style="212" customWidth="1"/>
    <col min="5127" max="5127" width="8" style="212" customWidth="1"/>
    <col min="5128" max="5128" width="9.33203125" style="212" customWidth="1"/>
    <col min="5129" max="5129" width="8.33203125" style="212" customWidth="1"/>
    <col min="5130" max="5130" width="11" style="212" customWidth="1"/>
    <col min="5131" max="5131" width="10.6640625" style="212" customWidth="1"/>
    <col min="5132" max="5132" width="10.33203125" style="212" customWidth="1"/>
    <col min="5133" max="5135" width="8.6640625" style="212" customWidth="1"/>
    <col min="5136" max="5375" width="11.33203125" style="212"/>
    <col min="5376" max="5376" width="5.33203125" style="212" customWidth="1"/>
    <col min="5377" max="5377" width="12.6640625" style="212" customWidth="1"/>
    <col min="5378" max="5378" width="11.33203125" style="212" customWidth="1"/>
    <col min="5379" max="5379" width="11" style="212" customWidth="1"/>
    <col min="5380" max="5380" width="8.6640625" style="212" customWidth="1"/>
    <col min="5381" max="5381" width="8.83203125" style="212" customWidth="1"/>
    <col min="5382" max="5382" width="8.5" style="212" customWidth="1"/>
    <col min="5383" max="5383" width="8" style="212" customWidth="1"/>
    <col min="5384" max="5384" width="9.33203125" style="212" customWidth="1"/>
    <col min="5385" max="5385" width="8.33203125" style="212" customWidth="1"/>
    <col min="5386" max="5386" width="11" style="212" customWidth="1"/>
    <col min="5387" max="5387" width="10.6640625" style="212" customWidth="1"/>
    <col min="5388" max="5388" width="10.33203125" style="212" customWidth="1"/>
    <col min="5389" max="5391" width="8.6640625" style="212" customWidth="1"/>
    <col min="5392" max="5631" width="11.33203125" style="212"/>
    <col min="5632" max="5632" width="5.33203125" style="212" customWidth="1"/>
    <col min="5633" max="5633" width="12.6640625" style="212" customWidth="1"/>
    <col min="5634" max="5634" width="11.33203125" style="212" customWidth="1"/>
    <col min="5635" max="5635" width="11" style="212" customWidth="1"/>
    <col min="5636" max="5636" width="8.6640625" style="212" customWidth="1"/>
    <col min="5637" max="5637" width="8.83203125" style="212" customWidth="1"/>
    <col min="5638" max="5638" width="8.5" style="212" customWidth="1"/>
    <col min="5639" max="5639" width="8" style="212" customWidth="1"/>
    <col min="5640" max="5640" width="9.33203125" style="212" customWidth="1"/>
    <col min="5641" max="5641" width="8.33203125" style="212" customWidth="1"/>
    <col min="5642" max="5642" width="11" style="212" customWidth="1"/>
    <col min="5643" max="5643" width="10.6640625" style="212" customWidth="1"/>
    <col min="5644" max="5644" width="10.33203125" style="212" customWidth="1"/>
    <col min="5645" max="5647" width="8.6640625" style="212" customWidth="1"/>
    <col min="5648" max="5887" width="11.33203125" style="212"/>
    <col min="5888" max="5888" width="5.33203125" style="212" customWidth="1"/>
    <col min="5889" max="5889" width="12.6640625" style="212" customWidth="1"/>
    <col min="5890" max="5890" width="11.33203125" style="212" customWidth="1"/>
    <col min="5891" max="5891" width="11" style="212" customWidth="1"/>
    <col min="5892" max="5892" width="8.6640625" style="212" customWidth="1"/>
    <col min="5893" max="5893" width="8.83203125" style="212" customWidth="1"/>
    <col min="5894" max="5894" width="8.5" style="212" customWidth="1"/>
    <col min="5895" max="5895" width="8" style="212" customWidth="1"/>
    <col min="5896" max="5896" width="9.33203125" style="212" customWidth="1"/>
    <col min="5897" max="5897" width="8.33203125" style="212" customWidth="1"/>
    <col min="5898" max="5898" width="11" style="212" customWidth="1"/>
    <col min="5899" max="5899" width="10.6640625" style="212" customWidth="1"/>
    <col min="5900" max="5900" width="10.33203125" style="212" customWidth="1"/>
    <col min="5901" max="5903" width="8.6640625" style="212" customWidth="1"/>
    <col min="5904" max="6143" width="11.33203125" style="212"/>
    <col min="6144" max="6144" width="5.33203125" style="212" customWidth="1"/>
    <col min="6145" max="6145" width="12.6640625" style="212" customWidth="1"/>
    <col min="6146" max="6146" width="11.33203125" style="212" customWidth="1"/>
    <col min="6147" max="6147" width="11" style="212" customWidth="1"/>
    <col min="6148" max="6148" width="8.6640625" style="212" customWidth="1"/>
    <col min="6149" max="6149" width="8.83203125" style="212" customWidth="1"/>
    <col min="6150" max="6150" width="8.5" style="212" customWidth="1"/>
    <col min="6151" max="6151" width="8" style="212" customWidth="1"/>
    <col min="6152" max="6152" width="9.33203125" style="212" customWidth="1"/>
    <col min="6153" max="6153" width="8.33203125" style="212" customWidth="1"/>
    <col min="6154" max="6154" width="11" style="212" customWidth="1"/>
    <col min="6155" max="6155" width="10.6640625" style="212" customWidth="1"/>
    <col min="6156" max="6156" width="10.33203125" style="212" customWidth="1"/>
    <col min="6157" max="6159" width="8.6640625" style="212" customWidth="1"/>
    <col min="6160" max="6399" width="11.33203125" style="212"/>
    <col min="6400" max="6400" width="5.33203125" style="212" customWidth="1"/>
    <col min="6401" max="6401" width="12.6640625" style="212" customWidth="1"/>
    <col min="6402" max="6402" width="11.33203125" style="212" customWidth="1"/>
    <col min="6403" max="6403" width="11" style="212" customWidth="1"/>
    <col min="6404" max="6404" width="8.6640625" style="212" customWidth="1"/>
    <col min="6405" max="6405" width="8.83203125" style="212" customWidth="1"/>
    <col min="6406" max="6406" width="8.5" style="212" customWidth="1"/>
    <col min="6407" max="6407" width="8" style="212" customWidth="1"/>
    <col min="6408" max="6408" width="9.33203125" style="212" customWidth="1"/>
    <col min="6409" max="6409" width="8.33203125" style="212" customWidth="1"/>
    <col min="6410" max="6410" width="11" style="212" customWidth="1"/>
    <col min="6411" max="6411" width="10.6640625" style="212" customWidth="1"/>
    <col min="6412" max="6412" width="10.33203125" style="212" customWidth="1"/>
    <col min="6413" max="6415" width="8.6640625" style="212" customWidth="1"/>
    <col min="6416" max="6655" width="11.33203125" style="212"/>
    <col min="6656" max="6656" width="5.33203125" style="212" customWidth="1"/>
    <col min="6657" max="6657" width="12.6640625" style="212" customWidth="1"/>
    <col min="6658" max="6658" width="11.33203125" style="212" customWidth="1"/>
    <col min="6659" max="6659" width="11" style="212" customWidth="1"/>
    <col min="6660" max="6660" width="8.6640625" style="212" customWidth="1"/>
    <col min="6661" max="6661" width="8.83203125" style="212" customWidth="1"/>
    <col min="6662" max="6662" width="8.5" style="212" customWidth="1"/>
    <col min="6663" max="6663" width="8" style="212" customWidth="1"/>
    <col min="6664" max="6664" width="9.33203125" style="212" customWidth="1"/>
    <col min="6665" max="6665" width="8.33203125" style="212" customWidth="1"/>
    <col min="6666" max="6666" width="11" style="212" customWidth="1"/>
    <col min="6667" max="6667" width="10.6640625" style="212" customWidth="1"/>
    <col min="6668" max="6668" width="10.33203125" style="212" customWidth="1"/>
    <col min="6669" max="6671" width="8.6640625" style="212" customWidth="1"/>
    <col min="6672" max="6911" width="11.33203125" style="212"/>
    <col min="6912" max="6912" width="5.33203125" style="212" customWidth="1"/>
    <col min="6913" max="6913" width="12.6640625" style="212" customWidth="1"/>
    <col min="6914" max="6914" width="11.33203125" style="212" customWidth="1"/>
    <col min="6915" max="6915" width="11" style="212" customWidth="1"/>
    <col min="6916" max="6916" width="8.6640625" style="212" customWidth="1"/>
    <col min="6917" max="6917" width="8.83203125" style="212" customWidth="1"/>
    <col min="6918" max="6918" width="8.5" style="212" customWidth="1"/>
    <col min="6919" max="6919" width="8" style="212" customWidth="1"/>
    <col min="6920" max="6920" width="9.33203125" style="212" customWidth="1"/>
    <col min="6921" max="6921" width="8.33203125" style="212" customWidth="1"/>
    <col min="6922" max="6922" width="11" style="212" customWidth="1"/>
    <col min="6923" max="6923" width="10.6640625" style="212" customWidth="1"/>
    <col min="6924" max="6924" width="10.33203125" style="212" customWidth="1"/>
    <col min="6925" max="6927" width="8.6640625" style="212" customWidth="1"/>
    <col min="6928" max="7167" width="11.33203125" style="212"/>
    <col min="7168" max="7168" width="5.33203125" style="212" customWidth="1"/>
    <col min="7169" max="7169" width="12.6640625" style="212" customWidth="1"/>
    <col min="7170" max="7170" width="11.33203125" style="212" customWidth="1"/>
    <col min="7171" max="7171" width="11" style="212" customWidth="1"/>
    <col min="7172" max="7172" width="8.6640625" style="212" customWidth="1"/>
    <col min="7173" max="7173" width="8.83203125" style="212" customWidth="1"/>
    <col min="7174" max="7174" width="8.5" style="212" customWidth="1"/>
    <col min="7175" max="7175" width="8" style="212" customWidth="1"/>
    <col min="7176" max="7176" width="9.33203125" style="212" customWidth="1"/>
    <col min="7177" max="7177" width="8.33203125" style="212" customWidth="1"/>
    <col min="7178" max="7178" width="11" style="212" customWidth="1"/>
    <col min="7179" max="7179" width="10.6640625" style="212" customWidth="1"/>
    <col min="7180" max="7180" width="10.33203125" style="212" customWidth="1"/>
    <col min="7181" max="7183" width="8.6640625" style="212" customWidth="1"/>
    <col min="7184" max="7423" width="11.33203125" style="212"/>
    <col min="7424" max="7424" width="5.33203125" style="212" customWidth="1"/>
    <col min="7425" max="7425" width="12.6640625" style="212" customWidth="1"/>
    <col min="7426" max="7426" width="11.33203125" style="212" customWidth="1"/>
    <col min="7427" max="7427" width="11" style="212" customWidth="1"/>
    <col min="7428" max="7428" width="8.6640625" style="212" customWidth="1"/>
    <col min="7429" max="7429" width="8.83203125" style="212" customWidth="1"/>
    <col min="7430" max="7430" width="8.5" style="212" customWidth="1"/>
    <col min="7431" max="7431" width="8" style="212" customWidth="1"/>
    <col min="7432" max="7432" width="9.33203125" style="212" customWidth="1"/>
    <col min="7433" max="7433" width="8.33203125" style="212" customWidth="1"/>
    <col min="7434" max="7434" width="11" style="212" customWidth="1"/>
    <col min="7435" max="7435" width="10.6640625" style="212" customWidth="1"/>
    <col min="7436" max="7436" width="10.33203125" style="212" customWidth="1"/>
    <col min="7437" max="7439" width="8.6640625" style="212" customWidth="1"/>
    <col min="7440" max="7679" width="11.33203125" style="212"/>
    <col min="7680" max="7680" width="5.33203125" style="212" customWidth="1"/>
    <col min="7681" max="7681" width="12.6640625" style="212" customWidth="1"/>
    <col min="7682" max="7682" width="11.33203125" style="212" customWidth="1"/>
    <col min="7683" max="7683" width="11" style="212" customWidth="1"/>
    <col min="7684" max="7684" width="8.6640625" style="212" customWidth="1"/>
    <col min="7685" max="7685" width="8.83203125" style="212" customWidth="1"/>
    <col min="7686" max="7686" width="8.5" style="212" customWidth="1"/>
    <col min="7687" max="7687" width="8" style="212" customWidth="1"/>
    <col min="7688" max="7688" width="9.33203125" style="212" customWidth="1"/>
    <col min="7689" max="7689" width="8.33203125" style="212" customWidth="1"/>
    <col min="7690" max="7690" width="11" style="212" customWidth="1"/>
    <col min="7691" max="7691" width="10.6640625" style="212" customWidth="1"/>
    <col min="7692" max="7692" width="10.33203125" style="212" customWidth="1"/>
    <col min="7693" max="7695" width="8.6640625" style="212" customWidth="1"/>
    <col min="7696" max="7935" width="11.33203125" style="212"/>
    <col min="7936" max="7936" width="5.33203125" style="212" customWidth="1"/>
    <col min="7937" max="7937" width="12.6640625" style="212" customWidth="1"/>
    <col min="7938" max="7938" width="11.33203125" style="212" customWidth="1"/>
    <col min="7939" max="7939" width="11" style="212" customWidth="1"/>
    <col min="7940" max="7940" width="8.6640625" style="212" customWidth="1"/>
    <col min="7941" max="7941" width="8.83203125" style="212" customWidth="1"/>
    <col min="7942" max="7942" width="8.5" style="212" customWidth="1"/>
    <col min="7943" max="7943" width="8" style="212" customWidth="1"/>
    <col min="7944" max="7944" width="9.33203125" style="212" customWidth="1"/>
    <col min="7945" max="7945" width="8.33203125" style="212" customWidth="1"/>
    <col min="7946" max="7946" width="11" style="212" customWidth="1"/>
    <col min="7947" max="7947" width="10.6640625" style="212" customWidth="1"/>
    <col min="7948" max="7948" width="10.33203125" style="212" customWidth="1"/>
    <col min="7949" max="7951" width="8.6640625" style="212" customWidth="1"/>
    <col min="7952" max="8191" width="11.33203125" style="212"/>
    <col min="8192" max="8192" width="5.33203125" style="212" customWidth="1"/>
    <col min="8193" max="8193" width="12.6640625" style="212" customWidth="1"/>
    <col min="8194" max="8194" width="11.33203125" style="212" customWidth="1"/>
    <col min="8195" max="8195" width="11" style="212" customWidth="1"/>
    <col min="8196" max="8196" width="8.6640625" style="212" customWidth="1"/>
    <col min="8197" max="8197" width="8.83203125" style="212" customWidth="1"/>
    <col min="8198" max="8198" width="8.5" style="212" customWidth="1"/>
    <col min="8199" max="8199" width="8" style="212" customWidth="1"/>
    <col min="8200" max="8200" width="9.33203125" style="212" customWidth="1"/>
    <col min="8201" max="8201" width="8.33203125" style="212" customWidth="1"/>
    <col min="8202" max="8202" width="11" style="212" customWidth="1"/>
    <col min="8203" max="8203" width="10.6640625" style="212" customWidth="1"/>
    <col min="8204" max="8204" width="10.33203125" style="212" customWidth="1"/>
    <col min="8205" max="8207" width="8.6640625" style="212" customWidth="1"/>
    <col min="8208" max="8447" width="11.33203125" style="212"/>
    <col min="8448" max="8448" width="5.33203125" style="212" customWidth="1"/>
    <col min="8449" max="8449" width="12.6640625" style="212" customWidth="1"/>
    <col min="8450" max="8450" width="11.33203125" style="212" customWidth="1"/>
    <col min="8451" max="8451" width="11" style="212" customWidth="1"/>
    <col min="8452" max="8452" width="8.6640625" style="212" customWidth="1"/>
    <col min="8453" max="8453" width="8.83203125" style="212" customWidth="1"/>
    <col min="8454" max="8454" width="8.5" style="212" customWidth="1"/>
    <col min="8455" max="8455" width="8" style="212" customWidth="1"/>
    <col min="8456" max="8456" width="9.33203125" style="212" customWidth="1"/>
    <col min="8457" max="8457" width="8.33203125" style="212" customWidth="1"/>
    <col min="8458" max="8458" width="11" style="212" customWidth="1"/>
    <col min="8459" max="8459" width="10.6640625" style="212" customWidth="1"/>
    <col min="8460" max="8460" width="10.33203125" style="212" customWidth="1"/>
    <col min="8461" max="8463" width="8.6640625" style="212" customWidth="1"/>
    <col min="8464" max="8703" width="11.33203125" style="212"/>
    <col min="8704" max="8704" width="5.33203125" style="212" customWidth="1"/>
    <col min="8705" max="8705" width="12.6640625" style="212" customWidth="1"/>
    <col min="8706" max="8706" width="11.33203125" style="212" customWidth="1"/>
    <col min="8707" max="8707" width="11" style="212" customWidth="1"/>
    <col min="8708" max="8708" width="8.6640625" style="212" customWidth="1"/>
    <col min="8709" max="8709" width="8.83203125" style="212" customWidth="1"/>
    <col min="8710" max="8710" width="8.5" style="212" customWidth="1"/>
    <col min="8711" max="8711" width="8" style="212" customWidth="1"/>
    <col min="8712" max="8712" width="9.33203125" style="212" customWidth="1"/>
    <col min="8713" max="8713" width="8.33203125" style="212" customWidth="1"/>
    <col min="8714" max="8714" width="11" style="212" customWidth="1"/>
    <col min="8715" max="8715" width="10.6640625" style="212" customWidth="1"/>
    <col min="8716" max="8716" width="10.33203125" style="212" customWidth="1"/>
    <col min="8717" max="8719" width="8.6640625" style="212" customWidth="1"/>
    <col min="8720" max="8959" width="11.33203125" style="212"/>
    <col min="8960" max="8960" width="5.33203125" style="212" customWidth="1"/>
    <col min="8961" max="8961" width="12.6640625" style="212" customWidth="1"/>
    <col min="8962" max="8962" width="11.33203125" style="212" customWidth="1"/>
    <col min="8963" max="8963" width="11" style="212" customWidth="1"/>
    <col min="8964" max="8964" width="8.6640625" style="212" customWidth="1"/>
    <col min="8965" max="8965" width="8.83203125" style="212" customWidth="1"/>
    <col min="8966" max="8966" width="8.5" style="212" customWidth="1"/>
    <col min="8967" max="8967" width="8" style="212" customWidth="1"/>
    <col min="8968" max="8968" width="9.33203125" style="212" customWidth="1"/>
    <col min="8969" max="8969" width="8.33203125" style="212" customWidth="1"/>
    <col min="8970" max="8970" width="11" style="212" customWidth="1"/>
    <col min="8971" max="8971" width="10.6640625" style="212" customWidth="1"/>
    <col min="8972" max="8972" width="10.33203125" style="212" customWidth="1"/>
    <col min="8973" max="8975" width="8.6640625" style="212" customWidth="1"/>
    <col min="8976" max="9215" width="11.33203125" style="212"/>
    <col min="9216" max="9216" width="5.33203125" style="212" customWidth="1"/>
    <col min="9217" max="9217" width="12.6640625" style="212" customWidth="1"/>
    <col min="9218" max="9218" width="11.33203125" style="212" customWidth="1"/>
    <col min="9219" max="9219" width="11" style="212" customWidth="1"/>
    <col min="9220" max="9220" width="8.6640625" style="212" customWidth="1"/>
    <col min="9221" max="9221" width="8.83203125" style="212" customWidth="1"/>
    <col min="9222" max="9222" width="8.5" style="212" customWidth="1"/>
    <col min="9223" max="9223" width="8" style="212" customWidth="1"/>
    <col min="9224" max="9224" width="9.33203125" style="212" customWidth="1"/>
    <col min="9225" max="9225" width="8.33203125" style="212" customWidth="1"/>
    <col min="9226" max="9226" width="11" style="212" customWidth="1"/>
    <col min="9227" max="9227" width="10.6640625" style="212" customWidth="1"/>
    <col min="9228" max="9228" width="10.33203125" style="212" customWidth="1"/>
    <col min="9229" max="9231" width="8.6640625" style="212" customWidth="1"/>
    <col min="9232" max="9471" width="11.33203125" style="212"/>
    <col min="9472" max="9472" width="5.33203125" style="212" customWidth="1"/>
    <col min="9473" max="9473" width="12.6640625" style="212" customWidth="1"/>
    <col min="9474" max="9474" width="11.33203125" style="212" customWidth="1"/>
    <col min="9475" max="9475" width="11" style="212" customWidth="1"/>
    <col min="9476" max="9476" width="8.6640625" style="212" customWidth="1"/>
    <col min="9477" max="9477" width="8.83203125" style="212" customWidth="1"/>
    <col min="9478" max="9478" width="8.5" style="212" customWidth="1"/>
    <col min="9479" max="9479" width="8" style="212" customWidth="1"/>
    <col min="9480" max="9480" width="9.33203125" style="212" customWidth="1"/>
    <col min="9481" max="9481" width="8.33203125" style="212" customWidth="1"/>
    <col min="9482" max="9482" width="11" style="212" customWidth="1"/>
    <col min="9483" max="9483" width="10.6640625" style="212" customWidth="1"/>
    <col min="9484" max="9484" width="10.33203125" style="212" customWidth="1"/>
    <col min="9485" max="9487" width="8.6640625" style="212" customWidth="1"/>
    <col min="9488" max="9727" width="11.33203125" style="212"/>
    <col min="9728" max="9728" width="5.33203125" style="212" customWidth="1"/>
    <col min="9729" max="9729" width="12.6640625" style="212" customWidth="1"/>
    <col min="9730" max="9730" width="11.33203125" style="212" customWidth="1"/>
    <col min="9731" max="9731" width="11" style="212" customWidth="1"/>
    <col min="9732" max="9732" width="8.6640625" style="212" customWidth="1"/>
    <col min="9733" max="9733" width="8.83203125" style="212" customWidth="1"/>
    <col min="9734" max="9734" width="8.5" style="212" customWidth="1"/>
    <col min="9735" max="9735" width="8" style="212" customWidth="1"/>
    <col min="9736" max="9736" width="9.33203125" style="212" customWidth="1"/>
    <col min="9737" max="9737" width="8.33203125" style="212" customWidth="1"/>
    <col min="9738" max="9738" width="11" style="212" customWidth="1"/>
    <col min="9739" max="9739" width="10.6640625" style="212" customWidth="1"/>
    <col min="9740" max="9740" width="10.33203125" style="212" customWidth="1"/>
    <col min="9741" max="9743" width="8.6640625" style="212" customWidth="1"/>
    <col min="9744" max="9983" width="11.33203125" style="212"/>
    <col min="9984" max="9984" width="5.33203125" style="212" customWidth="1"/>
    <col min="9985" max="9985" width="12.6640625" style="212" customWidth="1"/>
    <col min="9986" max="9986" width="11.33203125" style="212" customWidth="1"/>
    <col min="9987" max="9987" width="11" style="212" customWidth="1"/>
    <col min="9988" max="9988" width="8.6640625" style="212" customWidth="1"/>
    <col min="9989" max="9989" width="8.83203125" style="212" customWidth="1"/>
    <col min="9990" max="9990" width="8.5" style="212" customWidth="1"/>
    <col min="9991" max="9991" width="8" style="212" customWidth="1"/>
    <col min="9992" max="9992" width="9.33203125" style="212" customWidth="1"/>
    <col min="9993" max="9993" width="8.33203125" style="212" customWidth="1"/>
    <col min="9994" max="9994" width="11" style="212" customWidth="1"/>
    <col min="9995" max="9995" width="10.6640625" style="212" customWidth="1"/>
    <col min="9996" max="9996" width="10.33203125" style="212" customWidth="1"/>
    <col min="9997" max="9999" width="8.6640625" style="212" customWidth="1"/>
    <col min="10000" max="10239" width="11.33203125" style="212"/>
    <col min="10240" max="10240" width="5.33203125" style="212" customWidth="1"/>
    <col min="10241" max="10241" width="12.6640625" style="212" customWidth="1"/>
    <col min="10242" max="10242" width="11.33203125" style="212" customWidth="1"/>
    <col min="10243" max="10243" width="11" style="212" customWidth="1"/>
    <col min="10244" max="10244" width="8.6640625" style="212" customWidth="1"/>
    <col min="10245" max="10245" width="8.83203125" style="212" customWidth="1"/>
    <col min="10246" max="10246" width="8.5" style="212" customWidth="1"/>
    <col min="10247" max="10247" width="8" style="212" customWidth="1"/>
    <col min="10248" max="10248" width="9.33203125" style="212" customWidth="1"/>
    <col min="10249" max="10249" width="8.33203125" style="212" customWidth="1"/>
    <col min="10250" max="10250" width="11" style="212" customWidth="1"/>
    <col min="10251" max="10251" width="10.6640625" style="212" customWidth="1"/>
    <col min="10252" max="10252" width="10.33203125" style="212" customWidth="1"/>
    <col min="10253" max="10255" width="8.6640625" style="212" customWidth="1"/>
    <col min="10256" max="10495" width="11.33203125" style="212"/>
    <col min="10496" max="10496" width="5.33203125" style="212" customWidth="1"/>
    <col min="10497" max="10497" width="12.6640625" style="212" customWidth="1"/>
    <col min="10498" max="10498" width="11.33203125" style="212" customWidth="1"/>
    <col min="10499" max="10499" width="11" style="212" customWidth="1"/>
    <col min="10500" max="10500" width="8.6640625" style="212" customWidth="1"/>
    <col min="10501" max="10501" width="8.83203125" style="212" customWidth="1"/>
    <col min="10502" max="10502" width="8.5" style="212" customWidth="1"/>
    <col min="10503" max="10503" width="8" style="212" customWidth="1"/>
    <col min="10504" max="10504" width="9.33203125" style="212" customWidth="1"/>
    <col min="10505" max="10505" width="8.33203125" style="212" customWidth="1"/>
    <col min="10506" max="10506" width="11" style="212" customWidth="1"/>
    <col min="10507" max="10507" width="10.6640625" style="212" customWidth="1"/>
    <col min="10508" max="10508" width="10.33203125" style="212" customWidth="1"/>
    <col min="10509" max="10511" width="8.6640625" style="212" customWidth="1"/>
    <col min="10512" max="10751" width="11.33203125" style="212"/>
    <col min="10752" max="10752" width="5.33203125" style="212" customWidth="1"/>
    <col min="10753" max="10753" width="12.6640625" style="212" customWidth="1"/>
    <col min="10754" max="10754" width="11.33203125" style="212" customWidth="1"/>
    <col min="10755" max="10755" width="11" style="212" customWidth="1"/>
    <col min="10756" max="10756" width="8.6640625" style="212" customWidth="1"/>
    <col min="10757" max="10757" width="8.83203125" style="212" customWidth="1"/>
    <col min="10758" max="10758" width="8.5" style="212" customWidth="1"/>
    <col min="10759" max="10759" width="8" style="212" customWidth="1"/>
    <col min="10760" max="10760" width="9.33203125" style="212" customWidth="1"/>
    <col min="10761" max="10761" width="8.33203125" style="212" customWidth="1"/>
    <col min="10762" max="10762" width="11" style="212" customWidth="1"/>
    <col min="10763" max="10763" width="10.6640625" style="212" customWidth="1"/>
    <col min="10764" max="10764" width="10.33203125" style="212" customWidth="1"/>
    <col min="10765" max="10767" width="8.6640625" style="212" customWidth="1"/>
    <col min="10768" max="11007" width="11.33203125" style="212"/>
    <col min="11008" max="11008" width="5.33203125" style="212" customWidth="1"/>
    <col min="11009" max="11009" width="12.6640625" style="212" customWidth="1"/>
    <col min="11010" max="11010" width="11.33203125" style="212" customWidth="1"/>
    <col min="11011" max="11011" width="11" style="212" customWidth="1"/>
    <col min="11012" max="11012" width="8.6640625" style="212" customWidth="1"/>
    <col min="11013" max="11013" width="8.83203125" style="212" customWidth="1"/>
    <col min="11014" max="11014" width="8.5" style="212" customWidth="1"/>
    <col min="11015" max="11015" width="8" style="212" customWidth="1"/>
    <col min="11016" max="11016" width="9.33203125" style="212" customWidth="1"/>
    <col min="11017" max="11017" width="8.33203125" style="212" customWidth="1"/>
    <col min="11018" max="11018" width="11" style="212" customWidth="1"/>
    <col min="11019" max="11019" width="10.6640625" style="212" customWidth="1"/>
    <col min="11020" max="11020" width="10.33203125" style="212" customWidth="1"/>
    <col min="11021" max="11023" width="8.6640625" style="212" customWidth="1"/>
    <col min="11024" max="11263" width="11.33203125" style="212"/>
    <col min="11264" max="11264" width="5.33203125" style="212" customWidth="1"/>
    <col min="11265" max="11265" width="12.6640625" style="212" customWidth="1"/>
    <col min="11266" max="11266" width="11.33203125" style="212" customWidth="1"/>
    <col min="11267" max="11267" width="11" style="212" customWidth="1"/>
    <col min="11268" max="11268" width="8.6640625" style="212" customWidth="1"/>
    <col min="11269" max="11269" width="8.83203125" style="212" customWidth="1"/>
    <col min="11270" max="11270" width="8.5" style="212" customWidth="1"/>
    <col min="11271" max="11271" width="8" style="212" customWidth="1"/>
    <col min="11272" max="11272" width="9.33203125" style="212" customWidth="1"/>
    <col min="11273" max="11273" width="8.33203125" style="212" customWidth="1"/>
    <col min="11274" max="11274" width="11" style="212" customWidth="1"/>
    <col min="11275" max="11275" width="10.6640625" style="212" customWidth="1"/>
    <col min="11276" max="11276" width="10.33203125" style="212" customWidth="1"/>
    <col min="11277" max="11279" width="8.6640625" style="212" customWidth="1"/>
    <col min="11280" max="11519" width="11.33203125" style="212"/>
    <col min="11520" max="11520" width="5.33203125" style="212" customWidth="1"/>
    <col min="11521" max="11521" width="12.6640625" style="212" customWidth="1"/>
    <col min="11522" max="11522" width="11.33203125" style="212" customWidth="1"/>
    <col min="11523" max="11523" width="11" style="212" customWidth="1"/>
    <col min="11524" max="11524" width="8.6640625" style="212" customWidth="1"/>
    <col min="11525" max="11525" width="8.83203125" style="212" customWidth="1"/>
    <col min="11526" max="11526" width="8.5" style="212" customWidth="1"/>
    <col min="11527" max="11527" width="8" style="212" customWidth="1"/>
    <col min="11528" max="11528" width="9.33203125" style="212" customWidth="1"/>
    <col min="11529" max="11529" width="8.33203125" style="212" customWidth="1"/>
    <col min="11530" max="11530" width="11" style="212" customWidth="1"/>
    <col min="11531" max="11531" width="10.6640625" style="212" customWidth="1"/>
    <col min="11532" max="11532" width="10.33203125" style="212" customWidth="1"/>
    <col min="11533" max="11535" width="8.6640625" style="212" customWidth="1"/>
    <col min="11536" max="11775" width="11.33203125" style="212"/>
    <col min="11776" max="11776" width="5.33203125" style="212" customWidth="1"/>
    <col min="11777" max="11777" width="12.6640625" style="212" customWidth="1"/>
    <col min="11778" max="11778" width="11.33203125" style="212" customWidth="1"/>
    <col min="11779" max="11779" width="11" style="212" customWidth="1"/>
    <col min="11780" max="11780" width="8.6640625" style="212" customWidth="1"/>
    <col min="11781" max="11781" width="8.83203125" style="212" customWidth="1"/>
    <col min="11782" max="11782" width="8.5" style="212" customWidth="1"/>
    <col min="11783" max="11783" width="8" style="212" customWidth="1"/>
    <col min="11784" max="11784" width="9.33203125" style="212" customWidth="1"/>
    <col min="11785" max="11785" width="8.33203125" style="212" customWidth="1"/>
    <col min="11786" max="11786" width="11" style="212" customWidth="1"/>
    <col min="11787" max="11787" width="10.6640625" style="212" customWidth="1"/>
    <col min="11788" max="11788" width="10.33203125" style="212" customWidth="1"/>
    <col min="11789" max="11791" width="8.6640625" style="212" customWidth="1"/>
    <col min="11792" max="12031" width="11.33203125" style="212"/>
    <col min="12032" max="12032" width="5.33203125" style="212" customWidth="1"/>
    <col min="12033" max="12033" width="12.6640625" style="212" customWidth="1"/>
    <col min="12034" max="12034" width="11.33203125" style="212" customWidth="1"/>
    <col min="12035" max="12035" width="11" style="212" customWidth="1"/>
    <col min="12036" max="12036" width="8.6640625" style="212" customWidth="1"/>
    <col min="12037" max="12037" width="8.83203125" style="212" customWidth="1"/>
    <col min="12038" max="12038" width="8.5" style="212" customWidth="1"/>
    <col min="12039" max="12039" width="8" style="212" customWidth="1"/>
    <col min="12040" max="12040" width="9.33203125" style="212" customWidth="1"/>
    <col min="12041" max="12041" width="8.33203125" style="212" customWidth="1"/>
    <col min="12042" max="12042" width="11" style="212" customWidth="1"/>
    <col min="12043" max="12043" width="10.6640625" style="212" customWidth="1"/>
    <col min="12044" max="12044" width="10.33203125" style="212" customWidth="1"/>
    <col min="12045" max="12047" width="8.6640625" style="212" customWidth="1"/>
    <col min="12048" max="12287" width="11.33203125" style="212"/>
    <col min="12288" max="12288" width="5.33203125" style="212" customWidth="1"/>
    <col min="12289" max="12289" width="12.6640625" style="212" customWidth="1"/>
    <col min="12290" max="12290" width="11.33203125" style="212" customWidth="1"/>
    <col min="12291" max="12291" width="11" style="212" customWidth="1"/>
    <col min="12292" max="12292" width="8.6640625" style="212" customWidth="1"/>
    <col min="12293" max="12293" width="8.83203125" style="212" customWidth="1"/>
    <col min="12294" max="12294" width="8.5" style="212" customWidth="1"/>
    <col min="12295" max="12295" width="8" style="212" customWidth="1"/>
    <col min="12296" max="12296" width="9.33203125" style="212" customWidth="1"/>
    <col min="12297" max="12297" width="8.33203125" style="212" customWidth="1"/>
    <col min="12298" max="12298" width="11" style="212" customWidth="1"/>
    <col min="12299" max="12299" width="10.6640625" style="212" customWidth="1"/>
    <col min="12300" max="12300" width="10.33203125" style="212" customWidth="1"/>
    <col min="12301" max="12303" width="8.6640625" style="212" customWidth="1"/>
    <col min="12304" max="12543" width="11.33203125" style="212"/>
    <col min="12544" max="12544" width="5.33203125" style="212" customWidth="1"/>
    <col min="12545" max="12545" width="12.6640625" style="212" customWidth="1"/>
    <col min="12546" max="12546" width="11.33203125" style="212" customWidth="1"/>
    <col min="12547" max="12547" width="11" style="212" customWidth="1"/>
    <col min="12548" max="12548" width="8.6640625" style="212" customWidth="1"/>
    <col min="12549" max="12549" width="8.83203125" style="212" customWidth="1"/>
    <col min="12550" max="12550" width="8.5" style="212" customWidth="1"/>
    <col min="12551" max="12551" width="8" style="212" customWidth="1"/>
    <col min="12552" max="12552" width="9.33203125" style="212" customWidth="1"/>
    <col min="12553" max="12553" width="8.33203125" style="212" customWidth="1"/>
    <col min="12554" max="12554" width="11" style="212" customWidth="1"/>
    <col min="12555" max="12555" width="10.6640625" style="212" customWidth="1"/>
    <col min="12556" max="12556" width="10.33203125" style="212" customWidth="1"/>
    <col min="12557" max="12559" width="8.6640625" style="212" customWidth="1"/>
    <col min="12560" max="12799" width="11.33203125" style="212"/>
    <col min="12800" max="12800" width="5.33203125" style="212" customWidth="1"/>
    <col min="12801" max="12801" width="12.6640625" style="212" customWidth="1"/>
    <col min="12802" max="12802" width="11.33203125" style="212" customWidth="1"/>
    <col min="12803" max="12803" width="11" style="212" customWidth="1"/>
    <col min="12804" max="12804" width="8.6640625" style="212" customWidth="1"/>
    <col min="12805" max="12805" width="8.83203125" style="212" customWidth="1"/>
    <col min="12806" max="12806" width="8.5" style="212" customWidth="1"/>
    <col min="12807" max="12807" width="8" style="212" customWidth="1"/>
    <col min="12808" max="12808" width="9.33203125" style="212" customWidth="1"/>
    <col min="12809" max="12809" width="8.33203125" style="212" customWidth="1"/>
    <col min="12810" max="12810" width="11" style="212" customWidth="1"/>
    <col min="12811" max="12811" width="10.6640625" style="212" customWidth="1"/>
    <col min="12812" max="12812" width="10.33203125" style="212" customWidth="1"/>
    <col min="12813" max="12815" width="8.6640625" style="212" customWidth="1"/>
    <col min="12816" max="13055" width="11.33203125" style="212"/>
    <col min="13056" max="13056" width="5.33203125" style="212" customWidth="1"/>
    <col min="13057" max="13057" width="12.6640625" style="212" customWidth="1"/>
    <col min="13058" max="13058" width="11.33203125" style="212" customWidth="1"/>
    <col min="13059" max="13059" width="11" style="212" customWidth="1"/>
    <col min="13060" max="13060" width="8.6640625" style="212" customWidth="1"/>
    <col min="13061" max="13061" width="8.83203125" style="212" customWidth="1"/>
    <col min="13062" max="13062" width="8.5" style="212" customWidth="1"/>
    <col min="13063" max="13063" width="8" style="212" customWidth="1"/>
    <col min="13064" max="13064" width="9.33203125" style="212" customWidth="1"/>
    <col min="13065" max="13065" width="8.33203125" style="212" customWidth="1"/>
    <col min="13066" max="13066" width="11" style="212" customWidth="1"/>
    <col min="13067" max="13067" width="10.6640625" style="212" customWidth="1"/>
    <col min="13068" max="13068" width="10.33203125" style="212" customWidth="1"/>
    <col min="13069" max="13071" width="8.6640625" style="212" customWidth="1"/>
    <col min="13072" max="13311" width="11.33203125" style="212"/>
    <col min="13312" max="13312" width="5.33203125" style="212" customWidth="1"/>
    <col min="13313" max="13313" width="12.6640625" style="212" customWidth="1"/>
    <col min="13314" max="13314" width="11.33203125" style="212" customWidth="1"/>
    <col min="13315" max="13315" width="11" style="212" customWidth="1"/>
    <col min="13316" max="13316" width="8.6640625" style="212" customWidth="1"/>
    <col min="13317" max="13317" width="8.83203125" style="212" customWidth="1"/>
    <col min="13318" max="13318" width="8.5" style="212" customWidth="1"/>
    <col min="13319" max="13319" width="8" style="212" customWidth="1"/>
    <col min="13320" max="13320" width="9.33203125" style="212" customWidth="1"/>
    <col min="13321" max="13321" width="8.33203125" style="212" customWidth="1"/>
    <col min="13322" max="13322" width="11" style="212" customWidth="1"/>
    <col min="13323" max="13323" width="10.6640625" style="212" customWidth="1"/>
    <col min="13324" max="13324" width="10.33203125" style="212" customWidth="1"/>
    <col min="13325" max="13327" width="8.6640625" style="212" customWidth="1"/>
    <col min="13328" max="13567" width="11.33203125" style="212"/>
    <col min="13568" max="13568" width="5.33203125" style="212" customWidth="1"/>
    <col min="13569" max="13569" width="12.6640625" style="212" customWidth="1"/>
    <col min="13570" max="13570" width="11.33203125" style="212" customWidth="1"/>
    <col min="13571" max="13571" width="11" style="212" customWidth="1"/>
    <col min="13572" max="13572" width="8.6640625" style="212" customWidth="1"/>
    <col min="13573" max="13573" width="8.83203125" style="212" customWidth="1"/>
    <col min="13574" max="13574" width="8.5" style="212" customWidth="1"/>
    <col min="13575" max="13575" width="8" style="212" customWidth="1"/>
    <col min="13576" max="13576" width="9.33203125" style="212" customWidth="1"/>
    <col min="13577" max="13577" width="8.33203125" style="212" customWidth="1"/>
    <col min="13578" max="13578" width="11" style="212" customWidth="1"/>
    <col min="13579" max="13579" width="10.6640625" style="212" customWidth="1"/>
    <col min="13580" max="13580" width="10.33203125" style="212" customWidth="1"/>
    <col min="13581" max="13583" width="8.6640625" style="212" customWidth="1"/>
    <col min="13584" max="13823" width="11.33203125" style="212"/>
    <col min="13824" max="13824" width="5.33203125" style="212" customWidth="1"/>
    <col min="13825" max="13825" width="12.6640625" style="212" customWidth="1"/>
    <col min="13826" max="13826" width="11.33203125" style="212" customWidth="1"/>
    <col min="13827" max="13827" width="11" style="212" customWidth="1"/>
    <col min="13828" max="13828" width="8.6640625" style="212" customWidth="1"/>
    <col min="13829" max="13829" width="8.83203125" style="212" customWidth="1"/>
    <col min="13830" max="13830" width="8.5" style="212" customWidth="1"/>
    <col min="13831" max="13831" width="8" style="212" customWidth="1"/>
    <col min="13832" max="13832" width="9.33203125" style="212" customWidth="1"/>
    <col min="13833" max="13833" width="8.33203125" style="212" customWidth="1"/>
    <col min="13834" max="13834" width="11" style="212" customWidth="1"/>
    <col min="13835" max="13835" width="10.6640625" style="212" customWidth="1"/>
    <col min="13836" max="13836" width="10.33203125" style="212" customWidth="1"/>
    <col min="13837" max="13839" width="8.6640625" style="212" customWidth="1"/>
    <col min="13840" max="14079" width="11.33203125" style="212"/>
    <col min="14080" max="14080" width="5.33203125" style="212" customWidth="1"/>
    <col min="14081" max="14081" width="12.6640625" style="212" customWidth="1"/>
    <col min="14082" max="14082" width="11.33203125" style="212" customWidth="1"/>
    <col min="14083" max="14083" width="11" style="212" customWidth="1"/>
    <col min="14084" max="14084" width="8.6640625" style="212" customWidth="1"/>
    <col min="14085" max="14085" width="8.83203125" style="212" customWidth="1"/>
    <col min="14086" max="14086" width="8.5" style="212" customWidth="1"/>
    <col min="14087" max="14087" width="8" style="212" customWidth="1"/>
    <col min="14088" max="14088" width="9.33203125" style="212" customWidth="1"/>
    <col min="14089" max="14089" width="8.33203125" style="212" customWidth="1"/>
    <col min="14090" max="14090" width="11" style="212" customWidth="1"/>
    <col min="14091" max="14091" width="10.6640625" style="212" customWidth="1"/>
    <col min="14092" max="14092" width="10.33203125" style="212" customWidth="1"/>
    <col min="14093" max="14095" width="8.6640625" style="212" customWidth="1"/>
    <col min="14096" max="14335" width="11.33203125" style="212"/>
    <col min="14336" max="14336" width="5.33203125" style="212" customWidth="1"/>
    <col min="14337" max="14337" width="12.6640625" style="212" customWidth="1"/>
    <col min="14338" max="14338" width="11.33203125" style="212" customWidth="1"/>
    <col min="14339" max="14339" width="11" style="212" customWidth="1"/>
    <col min="14340" max="14340" width="8.6640625" style="212" customWidth="1"/>
    <col min="14341" max="14341" width="8.83203125" style="212" customWidth="1"/>
    <col min="14342" max="14342" width="8.5" style="212" customWidth="1"/>
    <col min="14343" max="14343" width="8" style="212" customWidth="1"/>
    <col min="14344" max="14344" width="9.33203125" style="212" customWidth="1"/>
    <col min="14345" max="14345" width="8.33203125" style="212" customWidth="1"/>
    <col min="14346" max="14346" width="11" style="212" customWidth="1"/>
    <col min="14347" max="14347" width="10.6640625" style="212" customWidth="1"/>
    <col min="14348" max="14348" width="10.33203125" style="212" customWidth="1"/>
    <col min="14349" max="14351" width="8.6640625" style="212" customWidth="1"/>
    <col min="14352" max="14591" width="11.33203125" style="212"/>
    <col min="14592" max="14592" width="5.33203125" style="212" customWidth="1"/>
    <col min="14593" max="14593" width="12.6640625" style="212" customWidth="1"/>
    <col min="14594" max="14594" width="11.33203125" style="212" customWidth="1"/>
    <col min="14595" max="14595" width="11" style="212" customWidth="1"/>
    <col min="14596" max="14596" width="8.6640625" style="212" customWidth="1"/>
    <col min="14597" max="14597" width="8.83203125" style="212" customWidth="1"/>
    <col min="14598" max="14598" width="8.5" style="212" customWidth="1"/>
    <col min="14599" max="14599" width="8" style="212" customWidth="1"/>
    <col min="14600" max="14600" width="9.33203125" style="212" customWidth="1"/>
    <col min="14601" max="14601" width="8.33203125" style="212" customWidth="1"/>
    <col min="14602" max="14602" width="11" style="212" customWidth="1"/>
    <col min="14603" max="14603" width="10.6640625" style="212" customWidth="1"/>
    <col min="14604" max="14604" width="10.33203125" style="212" customWidth="1"/>
    <col min="14605" max="14607" width="8.6640625" style="212" customWidth="1"/>
    <col min="14608" max="14847" width="11.33203125" style="212"/>
    <col min="14848" max="14848" width="5.33203125" style="212" customWidth="1"/>
    <col min="14849" max="14849" width="12.6640625" style="212" customWidth="1"/>
    <col min="14850" max="14850" width="11.33203125" style="212" customWidth="1"/>
    <col min="14851" max="14851" width="11" style="212" customWidth="1"/>
    <col min="14852" max="14852" width="8.6640625" style="212" customWidth="1"/>
    <col min="14853" max="14853" width="8.83203125" style="212" customWidth="1"/>
    <col min="14854" max="14854" width="8.5" style="212" customWidth="1"/>
    <col min="14855" max="14855" width="8" style="212" customWidth="1"/>
    <col min="14856" max="14856" width="9.33203125" style="212" customWidth="1"/>
    <col min="14857" max="14857" width="8.33203125" style="212" customWidth="1"/>
    <col min="14858" max="14858" width="11" style="212" customWidth="1"/>
    <col min="14859" max="14859" width="10.6640625" style="212" customWidth="1"/>
    <col min="14860" max="14860" width="10.33203125" style="212" customWidth="1"/>
    <col min="14861" max="14863" width="8.6640625" style="212" customWidth="1"/>
    <col min="14864" max="15103" width="11.33203125" style="212"/>
    <col min="15104" max="15104" width="5.33203125" style="212" customWidth="1"/>
    <col min="15105" max="15105" width="12.6640625" style="212" customWidth="1"/>
    <col min="15106" max="15106" width="11.33203125" style="212" customWidth="1"/>
    <col min="15107" max="15107" width="11" style="212" customWidth="1"/>
    <col min="15108" max="15108" width="8.6640625" style="212" customWidth="1"/>
    <col min="15109" max="15109" width="8.83203125" style="212" customWidth="1"/>
    <col min="15110" max="15110" width="8.5" style="212" customWidth="1"/>
    <col min="15111" max="15111" width="8" style="212" customWidth="1"/>
    <col min="15112" max="15112" width="9.33203125" style="212" customWidth="1"/>
    <col min="15113" max="15113" width="8.33203125" style="212" customWidth="1"/>
    <col min="15114" max="15114" width="11" style="212" customWidth="1"/>
    <col min="15115" max="15115" width="10.6640625" style="212" customWidth="1"/>
    <col min="15116" max="15116" width="10.33203125" style="212" customWidth="1"/>
    <col min="15117" max="15119" width="8.6640625" style="212" customWidth="1"/>
    <col min="15120" max="15359" width="11.33203125" style="212"/>
    <col min="15360" max="15360" width="5.33203125" style="212" customWidth="1"/>
    <col min="15361" max="15361" width="12.6640625" style="212" customWidth="1"/>
    <col min="15362" max="15362" width="11.33203125" style="212" customWidth="1"/>
    <col min="15363" max="15363" width="11" style="212" customWidth="1"/>
    <col min="15364" max="15364" width="8.6640625" style="212" customWidth="1"/>
    <col min="15365" max="15365" width="8.83203125" style="212" customWidth="1"/>
    <col min="15366" max="15366" width="8.5" style="212" customWidth="1"/>
    <col min="15367" max="15367" width="8" style="212" customWidth="1"/>
    <col min="15368" max="15368" width="9.33203125" style="212" customWidth="1"/>
    <col min="15369" max="15369" width="8.33203125" style="212" customWidth="1"/>
    <col min="15370" max="15370" width="11" style="212" customWidth="1"/>
    <col min="15371" max="15371" width="10.6640625" style="212" customWidth="1"/>
    <col min="15372" max="15372" width="10.33203125" style="212" customWidth="1"/>
    <col min="15373" max="15375" width="8.6640625" style="212" customWidth="1"/>
    <col min="15376" max="15615" width="11.33203125" style="212"/>
    <col min="15616" max="15616" width="5.33203125" style="212" customWidth="1"/>
    <col min="15617" max="15617" width="12.6640625" style="212" customWidth="1"/>
    <col min="15618" max="15618" width="11.33203125" style="212" customWidth="1"/>
    <col min="15619" max="15619" width="11" style="212" customWidth="1"/>
    <col min="15620" max="15620" width="8.6640625" style="212" customWidth="1"/>
    <col min="15621" max="15621" width="8.83203125" style="212" customWidth="1"/>
    <col min="15622" max="15622" width="8.5" style="212" customWidth="1"/>
    <col min="15623" max="15623" width="8" style="212" customWidth="1"/>
    <col min="15624" max="15624" width="9.33203125" style="212" customWidth="1"/>
    <col min="15625" max="15625" width="8.33203125" style="212" customWidth="1"/>
    <col min="15626" max="15626" width="11" style="212" customWidth="1"/>
    <col min="15627" max="15627" width="10.6640625" style="212" customWidth="1"/>
    <col min="15628" max="15628" width="10.33203125" style="212" customWidth="1"/>
    <col min="15629" max="15631" width="8.6640625" style="212" customWidth="1"/>
    <col min="15632" max="15871" width="11.33203125" style="212"/>
    <col min="15872" max="15872" width="5.33203125" style="212" customWidth="1"/>
    <col min="15873" max="15873" width="12.6640625" style="212" customWidth="1"/>
    <col min="15874" max="15874" width="11.33203125" style="212" customWidth="1"/>
    <col min="15875" max="15875" width="11" style="212" customWidth="1"/>
    <col min="15876" max="15876" width="8.6640625" style="212" customWidth="1"/>
    <col min="15877" max="15877" width="8.83203125" style="212" customWidth="1"/>
    <col min="15878" max="15878" width="8.5" style="212" customWidth="1"/>
    <col min="15879" max="15879" width="8" style="212" customWidth="1"/>
    <col min="15880" max="15880" width="9.33203125" style="212" customWidth="1"/>
    <col min="15881" max="15881" width="8.33203125" style="212" customWidth="1"/>
    <col min="15882" max="15882" width="11" style="212" customWidth="1"/>
    <col min="15883" max="15883" width="10.6640625" style="212" customWidth="1"/>
    <col min="15884" max="15884" width="10.33203125" style="212" customWidth="1"/>
    <col min="15885" max="15887" width="8.6640625" style="212" customWidth="1"/>
    <col min="15888" max="16127" width="11.33203125" style="212"/>
    <col min="16128" max="16128" width="5.33203125" style="212" customWidth="1"/>
    <col min="16129" max="16129" width="12.6640625" style="212" customWidth="1"/>
    <col min="16130" max="16130" width="11.33203125" style="212" customWidth="1"/>
    <col min="16131" max="16131" width="11" style="212" customWidth="1"/>
    <col min="16132" max="16132" width="8.6640625" style="212" customWidth="1"/>
    <col min="16133" max="16133" width="8.83203125" style="212" customWidth="1"/>
    <col min="16134" max="16134" width="8.5" style="212" customWidth="1"/>
    <col min="16135" max="16135" width="8" style="212" customWidth="1"/>
    <col min="16136" max="16136" width="9.33203125" style="212" customWidth="1"/>
    <col min="16137" max="16137" width="8.33203125" style="212" customWidth="1"/>
    <col min="16138" max="16138" width="11" style="212" customWidth="1"/>
    <col min="16139" max="16139" width="10.6640625" style="212" customWidth="1"/>
    <col min="16140" max="16140" width="10.33203125" style="212" customWidth="1"/>
    <col min="16141" max="16143" width="8.6640625" style="212" customWidth="1"/>
    <col min="16144" max="16384" width="11.33203125" style="212"/>
  </cols>
  <sheetData>
    <row r="1" spans="1:43" s="143" customFormat="1" ht="13.5" customHeight="1">
      <c r="A1" s="400"/>
      <c r="B1" s="400"/>
      <c r="C1" s="400"/>
      <c r="D1" s="410" t="s">
        <v>1</v>
      </c>
      <c r="E1" s="411"/>
      <c r="F1" s="411"/>
      <c r="G1" s="411"/>
      <c r="H1" s="411"/>
      <c r="I1" s="411"/>
      <c r="J1" s="411"/>
      <c r="K1" s="411"/>
      <c r="L1" s="411"/>
      <c r="M1" s="411"/>
      <c r="N1" s="411"/>
      <c r="O1" s="411"/>
      <c r="P1" s="412"/>
      <c r="Q1" s="141" t="s">
        <v>2</v>
      </c>
      <c r="R1" s="142" t="s">
        <v>35</v>
      </c>
      <c r="S1" s="203"/>
      <c r="T1" s="203"/>
      <c r="U1" s="204"/>
      <c r="V1" s="205"/>
    </row>
    <row r="2" spans="1:43" s="143" customFormat="1" ht="13.5" customHeight="1">
      <c r="A2" s="400"/>
      <c r="B2" s="400"/>
      <c r="C2" s="400"/>
      <c r="D2" s="401" t="s">
        <v>34</v>
      </c>
      <c r="E2" s="402"/>
      <c r="F2" s="402"/>
      <c r="G2" s="402"/>
      <c r="H2" s="402"/>
      <c r="I2" s="402"/>
      <c r="J2" s="402"/>
      <c r="K2" s="402"/>
      <c r="L2" s="402"/>
      <c r="M2" s="402"/>
      <c r="N2" s="402"/>
      <c r="O2" s="402"/>
      <c r="P2" s="403"/>
      <c r="Q2" s="141" t="s">
        <v>3</v>
      </c>
      <c r="R2" s="144" t="s">
        <v>282</v>
      </c>
      <c r="S2" s="206"/>
      <c r="T2" s="206"/>
      <c r="U2" s="204"/>
      <c r="V2" s="207"/>
    </row>
    <row r="3" spans="1:43" s="143" customFormat="1" ht="13.5" customHeight="1">
      <c r="A3" s="400"/>
      <c r="B3" s="400"/>
      <c r="C3" s="400"/>
      <c r="D3" s="404"/>
      <c r="E3" s="405"/>
      <c r="F3" s="405"/>
      <c r="G3" s="405"/>
      <c r="H3" s="405"/>
      <c r="I3" s="405"/>
      <c r="J3" s="405"/>
      <c r="K3" s="405"/>
      <c r="L3" s="405"/>
      <c r="M3" s="405"/>
      <c r="N3" s="405"/>
      <c r="O3" s="405"/>
      <c r="P3" s="406"/>
      <c r="Q3" s="141" t="s">
        <v>4</v>
      </c>
      <c r="R3" s="145" t="s">
        <v>253</v>
      </c>
      <c r="S3" s="206"/>
      <c r="T3" s="206"/>
      <c r="U3" s="204"/>
      <c r="V3" s="208"/>
    </row>
    <row r="4" spans="1:43" s="143" customFormat="1" ht="13.5" customHeight="1">
      <c r="A4" s="400"/>
      <c r="B4" s="400"/>
      <c r="C4" s="400"/>
      <c r="D4" s="407"/>
      <c r="E4" s="408"/>
      <c r="F4" s="408"/>
      <c r="G4" s="408"/>
      <c r="H4" s="408"/>
      <c r="I4" s="408"/>
      <c r="J4" s="408"/>
      <c r="K4" s="408"/>
      <c r="L4" s="408"/>
      <c r="M4" s="408"/>
      <c r="N4" s="408"/>
      <c r="O4" s="408"/>
      <c r="P4" s="409"/>
      <c r="Q4" s="141" t="s">
        <v>5</v>
      </c>
      <c r="R4" s="146">
        <v>46147</v>
      </c>
      <c r="S4" s="206"/>
      <c r="T4" s="206"/>
      <c r="U4" s="204"/>
      <c r="V4" s="209"/>
    </row>
    <row r="5" spans="1:43" customFormat="1" ht="21.75" customHeight="1">
      <c r="A5" s="466" t="s">
        <v>241</v>
      </c>
      <c r="B5" s="466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466"/>
      <c r="P5" s="466"/>
      <c r="Q5" s="466"/>
      <c r="R5" s="466"/>
      <c r="S5" s="210"/>
      <c r="T5" s="210"/>
      <c r="U5" s="210"/>
      <c r="V5" s="210"/>
      <c r="W5" s="210"/>
      <c r="X5" s="210"/>
      <c r="Y5" s="210"/>
      <c r="Z5" s="210"/>
      <c r="AA5" s="210"/>
      <c r="AB5" s="210"/>
      <c r="AC5" s="211"/>
      <c r="AD5" s="212"/>
      <c r="AE5" s="213"/>
      <c r="AF5" s="213"/>
      <c r="AG5" s="213"/>
      <c r="AH5" s="213"/>
      <c r="AI5" s="213"/>
    </row>
    <row r="6" spans="1:43" s="218" customFormat="1" ht="5.25" customHeight="1">
      <c r="A6" s="214"/>
      <c r="B6" s="214"/>
      <c r="C6" s="214"/>
      <c r="D6" s="214"/>
      <c r="E6" s="214"/>
      <c r="F6" s="214"/>
      <c r="G6" s="214"/>
      <c r="H6" s="214"/>
      <c r="I6" s="214"/>
      <c r="J6" s="214"/>
      <c r="K6" s="214"/>
      <c r="L6" s="214"/>
      <c r="M6" s="214"/>
      <c r="N6" s="214"/>
      <c r="O6" s="214"/>
      <c r="P6" s="215"/>
      <c r="Q6" s="215"/>
      <c r="R6" s="215"/>
      <c r="S6" s="215"/>
      <c r="T6" s="215"/>
      <c r="U6" s="216"/>
      <c r="V6" s="216"/>
      <c r="W6" s="216"/>
      <c r="X6" s="216"/>
      <c r="Y6" s="216"/>
      <c r="Z6" s="216"/>
      <c r="AA6" s="212"/>
      <c r="AB6" s="217"/>
      <c r="AC6" s="211"/>
      <c r="AD6" s="212"/>
      <c r="AE6" s="216"/>
      <c r="AF6" s="216"/>
      <c r="AG6" s="216"/>
      <c r="AH6" s="216"/>
      <c r="AI6" s="216"/>
    </row>
    <row r="7" spans="1:43">
      <c r="A7" s="461" t="s">
        <v>242</v>
      </c>
      <c r="B7" s="461"/>
      <c r="C7" s="461"/>
      <c r="D7" s="465"/>
      <c r="E7" s="465"/>
      <c r="F7" s="465"/>
      <c r="G7" s="465"/>
      <c r="H7" s="465"/>
      <c r="I7" s="465"/>
      <c r="J7" s="465"/>
      <c r="K7" s="465"/>
      <c r="L7" s="219"/>
      <c r="M7" s="219"/>
      <c r="N7" s="219"/>
      <c r="O7" s="219"/>
      <c r="P7" s="211"/>
      <c r="Q7" s="211"/>
      <c r="T7" s="211"/>
      <c r="U7" s="219"/>
      <c r="V7" s="219"/>
      <c r="W7" s="211"/>
      <c r="X7" s="211"/>
      <c r="AB7" s="219"/>
      <c r="AH7" s="211"/>
      <c r="AI7" s="211"/>
      <c r="AJ7" s="211"/>
      <c r="AK7" s="211"/>
      <c r="AL7" s="211"/>
      <c r="AM7" s="211"/>
      <c r="AN7" s="211"/>
      <c r="AO7" s="211"/>
      <c r="AP7" s="211"/>
      <c r="AQ7" s="211"/>
    </row>
    <row r="8" spans="1:43">
      <c r="A8" s="461" t="s">
        <v>243</v>
      </c>
      <c r="B8" s="461"/>
      <c r="C8" s="461"/>
      <c r="D8" s="462"/>
      <c r="E8" s="462"/>
      <c r="F8" s="462"/>
      <c r="G8" s="462"/>
      <c r="H8" s="462"/>
      <c r="I8" s="462"/>
      <c r="J8" s="462"/>
      <c r="K8" s="462"/>
      <c r="L8" s="219"/>
      <c r="M8" s="219"/>
      <c r="N8" s="219"/>
      <c r="O8" s="219"/>
      <c r="P8" s="211"/>
      <c r="Q8" s="211"/>
      <c r="T8" s="211"/>
      <c r="U8" s="219"/>
      <c r="V8" s="219"/>
      <c r="W8" s="211"/>
      <c r="X8" s="211"/>
      <c r="AB8" s="219"/>
      <c r="AH8" s="211"/>
      <c r="AI8" s="211"/>
      <c r="AJ8" s="211"/>
      <c r="AK8" s="211"/>
      <c r="AL8" s="211"/>
      <c r="AM8" s="211"/>
      <c r="AN8" s="211"/>
      <c r="AO8" s="211"/>
      <c r="AP8" s="211"/>
      <c r="AQ8" s="211"/>
    </row>
    <row r="9" spans="1:43" s="3" customFormat="1">
      <c r="A9" s="284"/>
      <c r="B9" s="284"/>
      <c r="C9" s="284"/>
      <c r="D9" s="284"/>
      <c r="E9" s="284"/>
      <c r="F9" s="284"/>
      <c r="G9" s="284"/>
      <c r="H9" s="284"/>
      <c r="I9" s="284"/>
      <c r="J9" s="284"/>
      <c r="K9" s="284"/>
      <c r="L9" s="284"/>
      <c r="M9" s="284"/>
      <c r="N9" s="2"/>
      <c r="O9" s="2"/>
      <c r="P9" s="1"/>
      <c r="Q9" s="1"/>
      <c r="R9" s="1"/>
      <c r="S9" s="1"/>
      <c r="T9" s="1"/>
      <c r="U9" s="2"/>
      <c r="V9" s="2"/>
      <c r="W9" s="1"/>
      <c r="X9" s="1"/>
      <c r="Y9" s="1"/>
      <c r="Z9" s="1"/>
      <c r="AA9" s="1"/>
      <c r="AB9" s="2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</row>
    <row r="10" spans="1:43" customFormat="1" ht="19.5" customHeight="1">
      <c r="A10" s="447" t="s">
        <v>256</v>
      </c>
      <c r="B10" s="448"/>
      <c r="C10" s="448"/>
      <c r="D10" s="448"/>
      <c r="E10" s="448"/>
      <c r="F10" s="448"/>
      <c r="G10" s="448"/>
      <c r="H10" s="448"/>
      <c r="I10" s="448"/>
      <c r="J10" s="448"/>
      <c r="K10" s="448"/>
      <c r="L10" s="448"/>
      <c r="M10" s="448"/>
      <c r="N10" s="448"/>
      <c r="O10" s="448"/>
      <c r="P10" s="448"/>
      <c r="Q10" s="448"/>
      <c r="R10" s="448"/>
      <c r="S10" s="448"/>
      <c r="T10" s="448"/>
      <c r="U10" s="448"/>
      <c r="V10" s="448"/>
      <c r="W10" s="448"/>
      <c r="X10" s="448"/>
      <c r="Y10" s="448"/>
      <c r="Z10" s="448"/>
      <c r="AA10" s="1"/>
      <c r="AB10" s="2"/>
      <c r="AC10" s="1"/>
      <c r="AD10" s="1"/>
      <c r="AE10" s="213"/>
      <c r="AF10" s="213"/>
      <c r="AG10" s="213"/>
      <c r="AH10" s="213"/>
      <c r="AI10" s="213"/>
    </row>
    <row r="11" spans="1:43" s="218" customFormat="1" ht="5.25" customHeight="1">
      <c r="A11" s="214"/>
      <c r="B11" s="214"/>
      <c r="C11" s="214"/>
      <c r="D11" s="214"/>
      <c r="E11" s="214"/>
      <c r="F11" s="214"/>
      <c r="G11" s="214"/>
      <c r="H11" s="214"/>
      <c r="I11" s="214"/>
      <c r="J11" s="214"/>
      <c r="K11" s="214"/>
      <c r="L11" s="214"/>
      <c r="M11" s="214"/>
      <c r="N11" s="214"/>
      <c r="O11" s="214"/>
      <c r="P11" s="215"/>
      <c r="Q11" s="215"/>
      <c r="R11" s="215"/>
      <c r="S11" s="215"/>
      <c r="T11" s="215"/>
      <c r="U11" s="216"/>
      <c r="V11" s="216"/>
      <c r="W11" s="216"/>
      <c r="X11" s="216"/>
      <c r="Y11" s="216"/>
      <c r="Z11" s="216"/>
      <c r="AA11" s="3"/>
      <c r="AB11" s="30"/>
      <c r="AC11" s="1"/>
      <c r="AD11" s="3"/>
      <c r="AE11" s="216"/>
      <c r="AF11" s="216"/>
      <c r="AG11" s="216"/>
      <c r="AH11" s="216"/>
      <c r="AI11" s="216"/>
    </row>
    <row r="12" spans="1:43" customFormat="1" ht="19.5" customHeight="1">
      <c r="A12" s="285"/>
      <c r="B12" s="449" t="s">
        <v>257</v>
      </c>
      <c r="C12" s="449"/>
      <c r="D12" s="449"/>
      <c r="E12" s="449"/>
      <c r="F12" s="449"/>
      <c r="G12" s="450"/>
      <c r="H12" s="286"/>
      <c r="I12" s="286"/>
      <c r="J12" s="286"/>
      <c r="K12" s="286"/>
      <c r="L12" s="286"/>
      <c r="M12" s="286"/>
      <c r="N12" s="286"/>
      <c r="O12" s="286"/>
      <c r="P12" s="286"/>
      <c r="Q12" s="286"/>
      <c r="R12" s="286"/>
      <c r="S12" s="452" t="s">
        <v>224</v>
      </c>
      <c r="T12" s="452"/>
      <c r="U12" s="452"/>
      <c r="V12" s="452"/>
      <c r="W12" s="452"/>
      <c r="X12" s="286"/>
      <c r="Y12" s="286"/>
      <c r="Z12" s="286"/>
      <c r="AA12" s="286"/>
      <c r="AB12" s="287"/>
      <c r="AC12" s="1"/>
      <c r="AD12" s="1"/>
      <c r="AE12" s="213"/>
      <c r="AF12" s="213"/>
      <c r="AG12" s="213"/>
      <c r="AH12" s="213"/>
      <c r="AI12" s="213"/>
    </row>
    <row r="13" spans="1:43" customFormat="1" ht="33.75" customHeight="1">
      <c r="A13" s="285"/>
      <c r="B13" s="288" t="s">
        <v>258</v>
      </c>
      <c r="C13" s="451" t="s">
        <v>259</v>
      </c>
      <c r="D13" s="451"/>
      <c r="E13" s="451" t="s">
        <v>260</v>
      </c>
      <c r="F13" s="451"/>
      <c r="G13" s="451" t="s">
        <v>261</v>
      </c>
      <c r="H13" s="451"/>
      <c r="I13" s="451"/>
      <c r="J13" s="451"/>
      <c r="K13" s="451"/>
      <c r="L13" s="286"/>
      <c r="M13" s="286"/>
      <c r="N13" s="286"/>
      <c r="O13" s="286"/>
      <c r="P13" s="286"/>
      <c r="Q13" s="286"/>
      <c r="R13" s="286"/>
      <c r="S13" s="452"/>
      <c r="T13" s="452"/>
      <c r="U13" s="452"/>
      <c r="V13" s="452"/>
      <c r="W13" s="452"/>
      <c r="X13" s="286"/>
      <c r="Y13" s="286"/>
      <c r="Z13" s="286"/>
      <c r="AA13" s="286"/>
      <c r="AB13" s="287"/>
      <c r="AC13" s="1"/>
      <c r="AD13" s="1"/>
      <c r="AE13" s="213"/>
      <c r="AF13" s="213"/>
      <c r="AG13" s="213"/>
      <c r="AH13" s="213"/>
      <c r="AI13" s="213"/>
    </row>
    <row r="14" spans="1:43" customFormat="1" ht="18" customHeight="1">
      <c r="A14" s="285"/>
      <c r="B14" s="445" t="s">
        <v>262</v>
      </c>
      <c r="C14" s="441" t="s">
        <v>263</v>
      </c>
      <c r="D14" s="442"/>
      <c r="E14" s="441" t="s">
        <v>265</v>
      </c>
      <c r="F14" s="442"/>
      <c r="G14" s="446" t="s">
        <v>273</v>
      </c>
      <c r="H14" s="446"/>
      <c r="I14" s="446"/>
      <c r="J14" s="289">
        <v>2.5</v>
      </c>
      <c r="K14" s="290" t="s">
        <v>126</v>
      </c>
      <c r="L14" s="286"/>
      <c r="M14" s="286"/>
      <c r="N14" s="286"/>
      <c r="O14" s="286"/>
      <c r="P14" s="286"/>
      <c r="Q14" s="286"/>
      <c r="R14" s="286"/>
      <c r="S14" s="452"/>
      <c r="T14" s="452"/>
      <c r="U14" s="452"/>
      <c r="V14" s="452"/>
      <c r="W14" s="452"/>
      <c r="X14" s="286"/>
      <c r="Y14" s="286"/>
      <c r="Z14" s="286"/>
      <c r="AA14" s="286"/>
      <c r="AB14" s="287"/>
      <c r="AC14" s="1"/>
      <c r="AD14" s="1"/>
      <c r="AE14" s="213"/>
      <c r="AF14" s="213"/>
      <c r="AG14" s="213"/>
      <c r="AH14" s="213"/>
      <c r="AI14" s="213"/>
    </row>
    <row r="15" spans="1:43" customFormat="1" ht="18" customHeight="1">
      <c r="A15" s="285"/>
      <c r="B15" s="445"/>
      <c r="C15" s="443"/>
      <c r="D15" s="444"/>
      <c r="E15" s="443"/>
      <c r="F15" s="444"/>
      <c r="G15" s="446" t="s">
        <v>264</v>
      </c>
      <c r="H15" s="446"/>
      <c r="I15" s="446"/>
      <c r="J15" s="289">
        <v>10</v>
      </c>
      <c r="K15" s="290" t="s">
        <v>170</v>
      </c>
      <c r="L15" s="286"/>
      <c r="M15" s="286"/>
      <c r="N15" s="286"/>
      <c r="O15" s="286"/>
      <c r="P15" s="286"/>
      <c r="Q15" s="286"/>
      <c r="R15" s="286"/>
      <c r="S15" s="452"/>
      <c r="T15" s="452"/>
      <c r="U15" s="452"/>
      <c r="V15" s="452"/>
      <c r="W15" s="452"/>
      <c r="X15" s="286"/>
      <c r="Y15" s="286"/>
      <c r="Z15" s="286"/>
      <c r="AA15" s="286"/>
      <c r="AB15" s="287"/>
      <c r="AC15" s="1"/>
      <c r="AD15" s="1"/>
      <c r="AE15" s="213"/>
      <c r="AF15" s="213"/>
      <c r="AG15" s="213"/>
      <c r="AH15" s="213"/>
      <c r="AI15" s="213"/>
    </row>
    <row r="16" spans="1:43" customFormat="1" ht="18" customHeight="1">
      <c r="A16" s="285"/>
      <c r="B16" s="445"/>
      <c r="C16" s="443"/>
      <c r="D16" s="444"/>
      <c r="E16" s="443"/>
      <c r="F16" s="444"/>
      <c r="G16" s="446" t="s">
        <v>266</v>
      </c>
      <c r="H16" s="446"/>
      <c r="I16" s="446"/>
      <c r="J16" s="289">
        <v>2</v>
      </c>
      <c r="K16" s="290" t="s">
        <v>177</v>
      </c>
      <c r="L16" s="286"/>
      <c r="M16" s="286"/>
      <c r="N16" s="286"/>
      <c r="O16" s="286"/>
      <c r="P16" s="286"/>
      <c r="Q16" s="286"/>
      <c r="R16" s="286"/>
      <c r="S16" s="452"/>
      <c r="T16" s="452"/>
      <c r="U16" s="452"/>
      <c r="V16" s="452"/>
      <c r="W16" s="452"/>
      <c r="X16" s="286"/>
      <c r="Y16" s="286"/>
      <c r="Z16" s="286"/>
      <c r="AA16" s="286"/>
      <c r="AB16" s="287"/>
      <c r="AC16" s="1"/>
      <c r="AD16" s="1"/>
      <c r="AE16" s="213"/>
      <c r="AF16" s="213"/>
      <c r="AG16" s="213"/>
      <c r="AH16" s="213"/>
      <c r="AI16" s="213"/>
    </row>
    <row r="17" spans="1:35" customFormat="1" ht="18" customHeight="1">
      <c r="A17" s="285"/>
      <c r="B17" s="445"/>
      <c r="C17" s="443"/>
      <c r="D17" s="444"/>
      <c r="E17" s="443"/>
      <c r="F17" s="444"/>
      <c r="G17" s="446" t="s">
        <v>267</v>
      </c>
      <c r="H17" s="446"/>
      <c r="I17" s="446"/>
      <c r="J17" s="289">
        <v>0.1</v>
      </c>
      <c r="K17" s="291" t="s">
        <v>268</v>
      </c>
      <c r="L17" s="286"/>
      <c r="M17" s="286"/>
      <c r="N17" s="286"/>
      <c r="O17" s="286"/>
      <c r="P17" s="286"/>
      <c r="Q17" s="286"/>
      <c r="R17" s="286"/>
      <c r="S17" s="452"/>
      <c r="T17" s="452"/>
      <c r="U17" s="452"/>
      <c r="V17" s="452"/>
      <c r="W17" s="452"/>
      <c r="X17" s="286"/>
      <c r="Y17" s="286"/>
      <c r="Z17" s="286"/>
      <c r="AA17" s="286"/>
      <c r="AB17" s="287"/>
      <c r="AC17" s="1"/>
      <c r="AD17" s="1"/>
      <c r="AE17" s="213"/>
      <c r="AF17" s="213"/>
      <c r="AG17" s="213"/>
      <c r="AH17" s="213"/>
      <c r="AI17" s="213"/>
    </row>
    <row r="18" spans="1:35" customFormat="1" ht="18" customHeight="1">
      <c r="A18" s="285"/>
      <c r="B18" s="445"/>
      <c r="C18" s="443"/>
      <c r="D18" s="444"/>
      <c r="E18" s="443"/>
      <c r="F18" s="444"/>
      <c r="G18" s="446" t="s">
        <v>269</v>
      </c>
      <c r="H18" s="446"/>
      <c r="I18" s="446"/>
      <c r="J18" s="289">
        <v>3</v>
      </c>
      <c r="K18" s="290" t="s">
        <v>270</v>
      </c>
      <c r="L18" s="286"/>
      <c r="M18" s="286"/>
      <c r="N18" s="286"/>
      <c r="O18" s="286"/>
      <c r="P18" s="286"/>
      <c r="Q18" s="286"/>
      <c r="R18" s="286"/>
      <c r="S18" s="452"/>
      <c r="T18" s="452"/>
      <c r="U18" s="452"/>
      <c r="V18" s="452"/>
      <c r="W18" s="452"/>
      <c r="X18" s="286"/>
      <c r="Y18" s="286"/>
      <c r="Z18" s="286"/>
      <c r="AA18" s="286"/>
      <c r="AB18" s="287"/>
      <c r="AC18" s="1"/>
      <c r="AD18" s="1"/>
      <c r="AE18" s="213"/>
      <c r="AF18" s="213"/>
      <c r="AG18" s="213"/>
      <c r="AH18" s="213"/>
      <c r="AI18" s="213"/>
    </row>
    <row r="19" spans="1:35" customFormat="1" ht="24.75" customHeight="1">
      <c r="A19" s="285"/>
      <c r="B19" s="445"/>
      <c r="C19" s="440" t="s">
        <v>271</v>
      </c>
      <c r="D19" s="440"/>
      <c r="E19" s="440" t="s">
        <v>265</v>
      </c>
      <c r="F19" s="440"/>
      <c r="G19" s="446" t="s">
        <v>272</v>
      </c>
      <c r="H19" s="446"/>
      <c r="I19" s="446"/>
      <c r="J19" s="289">
        <v>10</v>
      </c>
      <c r="K19" s="290" t="s">
        <v>170</v>
      </c>
      <c r="L19" s="286"/>
      <c r="M19" s="286"/>
      <c r="N19" s="286"/>
      <c r="O19" s="286"/>
      <c r="P19" s="286"/>
      <c r="Q19" s="286"/>
      <c r="R19" s="286"/>
      <c r="S19" s="452"/>
      <c r="T19" s="452"/>
      <c r="U19" s="452"/>
      <c r="V19" s="452"/>
      <c r="W19" s="452"/>
      <c r="X19" s="286"/>
      <c r="Y19" s="286"/>
      <c r="Z19" s="286"/>
      <c r="AA19" s="286"/>
      <c r="AB19" s="287"/>
      <c r="AC19" s="1"/>
      <c r="AD19" s="1"/>
      <c r="AE19" s="213"/>
      <c r="AF19" s="213"/>
      <c r="AG19" s="213"/>
      <c r="AH19" s="213"/>
      <c r="AI19" s="213"/>
    </row>
    <row r="20" spans="1:35" customFormat="1" ht="18" customHeight="1">
      <c r="A20" s="285"/>
      <c r="B20" s="292"/>
      <c r="C20" s="293"/>
      <c r="D20" s="293"/>
      <c r="E20" s="3"/>
      <c r="F20" s="3"/>
      <c r="G20" s="440" t="s">
        <v>176</v>
      </c>
      <c r="H20" s="440"/>
      <c r="I20" s="440"/>
      <c r="J20" s="289">
        <v>0.3</v>
      </c>
      <c r="K20" s="290" t="s">
        <v>177</v>
      </c>
      <c r="L20" s="298"/>
      <c r="M20" s="299" t="s">
        <v>274</v>
      </c>
      <c r="N20" s="300">
        <v>2</v>
      </c>
      <c r="O20" s="286"/>
      <c r="P20" s="286"/>
      <c r="Q20" s="286"/>
      <c r="R20" s="286"/>
      <c r="S20" s="286"/>
      <c r="T20" s="286"/>
      <c r="U20" s="286"/>
      <c r="V20" s="286"/>
      <c r="W20" s="286"/>
      <c r="X20" s="286"/>
      <c r="Y20" s="286"/>
      <c r="Z20" s="286"/>
      <c r="AA20" s="286"/>
      <c r="AB20" s="287"/>
      <c r="AC20" s="1"/>
      <c r="AD20" s="1"/>
      <c r="AE20" s="213"/>
      <c r="AF20" s="213"/>
      <c r="AG20" s="213"/>
      <c r="AH20" s="213"/>
      <c r="AI20" s="213"/>
    </row>
    <row r="21" spans="1:35" customFormat="1" ht="11.75" customHeight="1">
      <c r="A21" s="294"/>
      <c r="B21" s="294"/>
      <c r="C21" s="294"/>
      <c r="D21" s="294"/>
      <c r="E21" s="295"/>
      <c r="F21" s="294"/>
      <c r="G21" s="294"/>
      <c r="H21" s="296"/>
      <c r="I21" s="295"/>
      <c r="J21" s="295"/>
      <c r="K21" s="295"/>
      <c r="X21" s="285"/>
      <c r="Y21" s="285"/>
      <c r="Z21" s="213"/>
      <c r="AA21" s="294"/>
      <c r="AB21" s="213"/>
      <c r="AC21" s="213"/>
      <c r="AD21" s="213"/>
      <c r="AE21" s="213"/>
      <c r="AF21" s="213"/>
      <c r="AG21" s="213"/>
      <c r="AH21" s="213"/>
      <c r="AI21" s="213"/>
    </row>
    <row r="22" spans="1:35" ht="20.25" customHeight="1">
      <c r="A22" s="454" t="s">
        <v>213</v>
      </c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S22" s="453" t="s">
        <v>224</v>
      </c>
      <c r="T22" s="453"/>
      <c r="U22" s="453"/>
      <c r="V22" s="453"/>
      <c r="W22" s="453"/>
      <c r="X22" s="453"/>
    </row>
    <row r="23" spans="1:35" s="211" customFormat="1" ht="30" customHeight="1">
      <c r="B23" s="455" t="s">
        <v>214</v>
      </c>
      <c r="C23" s="455"/>
      <c r="D23" s="455"/>
      <c r="E23" s="455"/>
      <c r="F23" s="455"/>
      <c r="G23" s="455"/>
      <c r="H23" s="455"/>
      <c r="I23" s="455"/>
      <c r="J23" s="455"/>
      <c r="K23" s="455"/>
      <c r="L23" s="455"/>
      <c r="M23" s="455"/>
      <c r="N23" s="455"/>
      <c r="O23" s="455"/>
      <c r="P23" s="455"/>
      <c r="Q23" s="455"/>
      <c r="R23" s="455"/>
      <c r="S23" s="453"/>
      <c r="T23" s="453"/>
      <c r="U23" s="453"/>
      <c r="V23" s="453"/>
      <c r="W23" s="453"/>
      <c r="X23" s="453"/>
    </row>
    <row r="24" spans="1:35" s="211" customFormat="1" ht="28" customHeight="1">
      <c r="B24" s="220"/>
      <c r="C24" s="221" t="s">
        <v>112</v>
      </c>
      <c r="D24" s="222" t="s">
        <v>113</v>
      </c>
      <c r="E24" s="222" t="s">
        <v>114</v>
      </c>
      <c r="H24" s="221" t="s">
        <v>112</v>
      </c>
      <c r="I24" s="222" t="s">
        <v>113</v>
      </c>
      <c r="J24" s="222" t="s">
        <v>114</v>
      </c>
      <c r="K24" s="219"/>
      <c r="M24" s="221" t="s">
        <v>112</v>
      </c>
      <c r="N24" s="222" t="s">
        <v>113</v>
      </c>
      <c r="O24" s="222" t="s">
        <v>114</v>
      </c>
      <c r="P24" s="219"/>
      <c r="Q24" s="219"/>
      <c r="S24" s="453"/>
      <c r="T24" s="453"/>
      <c r="U24" s="453"/>
      <c r="V24" s="453"/>
      <c r="W24" s="453"/>
      <c r="X24" s="453"/>
    </row>
    <row r="25" spans="1:35" ht="24.5" customHeight="1">
      <c r="A25" s="211"/>
      <c r="B25" s="223"/>
      <c r="C25" s="224" t="s">
        <v>245</v>
      </c>
      <c r="D25" s="225">
        <v>20</v>
      </c>
      <c r="E25" s="226" t="s">
        <v>198</v>
      </c>
      <c r="F25" s="211"/>
      <c r="G25" s="219"/>
      <c r="H25" s="224" t="s">
        <v>246</v>
      </c>
      <c r="I25" s="225">
        <v>80</v>
      </c>
      <c r="J25" s="226" t="s">
        <v>198</v>
      </c>
      <c r="K25" s="212"/>
      <c r="L25" s="211"/>
      <c r="M25" s="224" t="s">
        <v>247</v>
      </c>
      <c r="N25" s="225">
        <v>200</v>
      </c>
      <c r="O25" s="226" t="s">
        <v>198</v>
      </c>
      <c r="P25" s="211"/>
      <c r="Q25" s="219"/>
      <c r="S25" s="453"/>
      <c r="T25" s="453"/>
      <c r="U25" s="453"/>
      <c r="V25" s="453"/>
      <c r="W25" s="453"/>
      <c r="X25" s="453"/>
      <c r="AF25" s="212"/>
      <c r="AG25" s="212"/>
    </row>
    <row r="26" spans="1:35" s="211" customFormat="1" ht="14.75" customHeight="1">
      <c r="A26" s="227"/>
      <c r="B26" s="228" t="s">
        <v>115</v>
      </c>
      <c r="C26" s="229"/>
      <c r="D26" s="229"/>
      <c r="E26" s="229"/>
      <c r="G26" s="228" t="s">
        <v>115</v>
      </c>
      <c r="H26" s="229"/>
      <c r="I26" s="229"/>
      <c r="J26" s="229"/>
      <c r="L26" s="228" t="s">
        <v>115</v>
      </c>
      <c r="M26" s="229"/>
      <c r="N26" s="229"/>
      <c r="O26" s="229"/>
      <c r="Q26" s="219"/>
      <c r="S26" s="453"/>
      <c r="T26" s="453"/>
      <c r="U26" s="453"/>
      <c r="V26" s="453"/>
      <c r="W26" s="453"/>
      <c r="X26" s="453"/>
    </row>
    <row r="27" spans="1:35" s="211" customFormat="1">
      <c r="A27" s="227"/>
      <c r="B27" s="230">
        <v>1</v>
      </c>
      <c r="C27" s="231"/>
      <c r="D27" s="231"/>
      <c r="E27" s="232"/>
      <c r="F27" s="233"/>
      <c r="G27" s="230">
        <v>1</v>
      </c>
      <c r="H27" s="231"/>
      <c r="I27" s="231"/>
      <c r="J27" s="232"/>
      <c r="L27" s="230">
        <v>1</v>
      </c>
      <c r="M27" s="232"/>
      <c r="N27" s="232"/>
      <c r="O27" s="232"/>
      <c r="P27" s="234" t="s">
        <v>29</v>
      </c>
      <c r="Q27" s="235">
        <v>6.9999999999999999E-6</v>
      </c>
      <c r="S27" s="453"/>
      <c r="T27" s="453"/>
      <c r="U27" s="453"/>
      <c r="V27" s="453"/>
      <c r="W27" s="453"/>
      <c r="X27" s="453"/>
    </row>
    <row r="28" spans="1:35" s="211" customFormat="1" ht="14">
      <c r="A28" s="227"/>
      <c r="B28" s="230">
        <v>2</v>
      </c>
      <c r="C28" s="231"/>
      <c r="D28" s="231"/>
      <c r="E28" s="232"/>
      <c r="F28" s="233"/>
      <c r="G28" s="230">
        <v>2</v>
      </c>
      <c r="H28" s="231"/>
      <c r="I28" s="231"/>
      <c r="J28" s="232"/>
      <c r="L28" s="230">
        <v>2</v>
      </c>
      <c r="M28" s="232"/>
      <c r="N28" s="232"/>
      <c r="O28" s="232"/>
      <c r="P28" s="236" t="s">
        <v>30</v>
      </c>
      <c r="Q28" s="237">
        <v>1.23E-2</v>
      </c>
      <c r="S28" s="453"/>
      <c r="T28" s="453"/>
      <c r="U28" s="453"/>
      <c r="V28" s="453"/>
      <c r="W28" s="453"/>
      <c r="X28" s="453"/>
    </row>
    <row r="29" spans="1:35" s="211" customFormat="1" ht="14">
      <c r="A29" s="227"/>
      <c r="B29" s="230">
        <v>3</v>
      </c>
      <c r="C29" s="231"/>
      <c r="D29" s="231"/>
      <c r="E29" s="232"/>
      <c r="F29" s="233"/>
      <c r="G29" s="230">
        <v>3</v>
      </c>
      <c r="H29" s="231"/>
      <c r="I29" s="231"/>
      <c r="J29" s="232"/>
      <c r="L29" s="230">
        <v>3</v>
      </c>
      <c r="M29" s="232"/>
      <c r="N29" s="232"/>
      <c r="O29" s="232"/>
      <c r="P29" s="236" t="s">
        <v>116</v>
      </c>
      <c r="Q29" s="237">
        <v>-2.3199999999999998E-2</v>
      </c>
      <c r="S29" s="453"/>
      <c r="T29" s="453"/>
      <c r="U29" s="453"/>
      <c r="V29" s="453"/>
      <c r="W29" s="453"/>
      <c r="X29" s="453"/>
    </row>
    <row r="30" spans="1:35" s="211" customFormat="1">
      <c r="A30" s="227"/>
      <c r="B30" s="230">
        <v>4</v>
      </c>
      <c r="C30" s="231"/>
      <c r="D30" s="231"/>
      <c r="E30" s="232"/>
      <c r="F30" s="233"/>
      <c r="G30" s="230">
        <v>4</v>
      </c>
      <c r="H30" s="231"/>
      <c r="I30" s="231"/>
      <c r="J30" s="232"/>
      <c r="L30" s="230">
        <v>4</v>
      </c>
      <c r="M30" s="232"/>
      <c r="N30" s="232"/>
      <c r="O30" s="232"/>
      <c r="Q30" s="219"/>
      <c r="S30" s="453"/>
      <c r="T30" s="453"/>
      <c r="U30" s="453"/>
      <c r="V30" s="453"/>
      <c r="W30" s="453"/>
      <c r="X30" s="453"/>
    </row>
    <row r="31" spans="1:35" s="211" customFormat="1">
      <c r="A31" s="227"/>
      <c r="B31" s="230">
        <v>5</v>
      </c>
      <c r="C31" s="231"/>
      <c r="D31" s="231"/>
      <c r="E31" s="238"/>
      <c r="F31" s="233"/>
      <c r="G31" s="230">
        <v>5</v>
      </c>
      <c r="H31" s="231"/>
      <c r="I31" s="231"/>
      <c r="J31" s="238"/>
      <c r="K31" s="233"/>
      <c r="L31" s="230">
        <v>5</v>
      </c>
      <c r="M31" s="232"/>
      <c r="N31" s="232"/>
      <c r="O31" s="238"/>
      <c r="Q31" s="219"/>
      <c r="S31" s="453"/>
      <c r="T31" s="453"/>
      <c r="U31" s="453"/>
      <c r="V31" s="453"/>
      <c r="W31" s="453"/>
      <c r="X31" s="453"/>
    </row>
    <row r="32" spans="1:35" s="211" customFormat="1">
      <c r="A32" s="227"/>
      <c r="B32" s="230">
        <v>6</v>
      </c>
      <c r="C32" s="231"/>
      <c r="D32" s="231"/>
      <c r="E32" s="238"/>
      <c r="F32" s="233"/>
      <c r="G32" s="230">
        <v>6</v>
      </c>
      <c r="H32" s="231"/>
      <c r="I32" s="231"/>
      <c r="J32" s="238"/>
      <c r="L32" s="230">
        <v>6</v>
      </c>
      <c r="M32" s="232"/>
      <c r="N32" s="232"/>
      <c r="O32" s="238"/>
      <c r="Q32" s="219"/>
      <c r="S32" s="453"/>
      <c r="T32" s="453"/>
      <c r="U32" s="453"/>
      <c r="V32" s="453"/>
      <c r="W32" s="453"/>
      <c r="X32" s="453"/>
    </row>
    <row r="33" spans="1:26" s="211" customFormat="1">
      <c r="A33" s="227"/>
      <c r="B33" s="230">
        <v>7</v>
      </c>
      <c r="C33" s="231"/>
      <c r="D33" s="231"/>
      <c r="E33" s="238"/>
      <c r="F33" s="233"/>
      <c r="G33" s="230">
        <v>7</v>
      </c>
      <c r="H33" s="231"/>
      <c r="I33" s="231"/>
      <c r="J33" s="238"/>
      <c r="L33" s="230">
        <v>7</v>
      </c>
      <c r="M33" s="232"/>
      <c r="N33" s="232"/>
      <c r="O33" s="238"/>
      <c r="Q33" s="219"/>
      <c r="S33" s="453"/>
      <c r="T33" s="453"/>
      <c r="U33" s="453"/>
      <c r="V33" s="453"/>
      <c r="W33" s="453"/>
      <c r="X33" s="453"/>
    </row>
    <row r="34" spans="1:26" s="211" customFormat="1">
      <c r="A34" s="227"/>
      <c r="B34" s="230">
        <v>8</v>
      </c>
      <c r="C34" s="231"/>
      <c r="D34" s="231"/>
      <c r="E34" s="238"/>
      <c r="F34" s="233"/>
      <c r="G34" s="230">
        <v>8</v>
      </c>
      <c r="H34" s="231"/>
      <c r="I34" s="231"/>
      <c r="J34" s="238"/>
      <c r="L34" s="230">
        <v>8</v>
      </c>
      <c r="M34" s="232"/>
      <c r="N34" s="232"/>
      <c r="O34" s="238"/>
      <c r="Q34" s="219"/>
      <c r="S34" s="453"/>
      <c r="T34" s="453"/>
      <c r="U34" s="453"/>
      <c r="V34" s="453"/>
      <c r="W34" s="453"/>
      <c r="X34" s="453"/>
    </row>
    <row r="35" spans="1:26" s="211" customFormat="1">
      <c r="A35" s="227"/>
      <c r="B35" s="230">
        <v>9</v>
      </c>
      <c r="C35" s="231"/>
      <c r="D35" s="231"/>
      <c r="E35" s="238"/>
      <c r="F35" s="233"/>
      <c r="G35" s="230">
        <v>9</v>
      </c>
      <c r="H35" s="231"/>
      <c r="I35" s="231"/>
      <c r="J35" s="238"/>
      <c r="L35" s="230">
        <v>9</v>
      </c>
      <c r="M35" s="232"/>
      <c r="N35" s="232"/>
      <c r="O35" s="238"/>
      <c r="Q35" s="219"/>
      <c r="S35" s="453"/>
      <c r="T35" s="453"/>
      <c r="U35" s="453"/>
      <c r="V35" s="453"/>
      <c r="W35" s="453"/>
      <c r="X35" s="453"/>
    </row>
    <row r="36" spans="1:26" s="211" customFormat="1">
      <c r="A36" s="227"/>
      <c r="B36" s="230">
        <v>10</v>
      </c>
      <c r="C36" s="231"/>
      <c r="D36" s="231"/>
      <c r="E36" s="239"/>
      <c r="F36" s="233"/>
      <c r="G36" s="230">
        <v>10</v>
      </c>
      <c r="H36" s="231"/>
      <c r="I36" s="231"/>
      <c r="J36" s="238"/>
      <c r="L36" s="230">
        <v>10</v>
      </c>
      <c r="M36" s="232"/>
      <c r="N36" s="232"/>
      <c r="O36" s="238"/>
      <c r="Q36" s="219"/>
      <c r="S36" s="453"/>
      <c r="T36" s="453"/>
      <c r="U36" s="453"/>
      <c r="V36" s="453"/>
      <c r="W36" s="453"/>
      <c r="X36" s="453"/>
    </row>
    <row r="37" spans="1:26" s="241" customFormat="1" ht="30" customHeight="1">
      <c r="A37" s="240"/>
      <c r="B37" s="455" t="s">
        <v>223</v>
      </c>
      <c r="C37" s="455"/>
      <c r="D37" s="455"/>
      <c r="E37" s="455"/>
      <c r="F37" s="455"/>
      <c r="G37" s="455"/>
      <c r="H37" s="455"/>
      <c r="I37" s="455"/>
      <c r="J37" s="455"/>
      <c r="K37" s="455"/>
      <c r="L37" s="455"/>
      <c r="M37" s="455"/>
      <c r="N37" s="455"/>
      <c r="O37" s="455"/>
      <c r="P37" s="455"/>
      <c r="Q37" s="455"/>
      <c r="R37" s="455"/>
      <c r="S37" s="453"/>
      <c r="T37" s="453"/>
      <c r="U37" s="453"/>
      <c r="V37" s="453"/>
      <c r="W37" s="453"/>
      <c r="X37" s="453"/>
    </row>
    <row r="38" spans="1:26" s="211" customFormat="1" ht="28" customHeight="1">
      <c r="B38" s="220"/>
      <c r="C38" s="221" t="s">
        <v>112</v>
      </c>
      <c r="D38" s="222" t="s">
        <v>113</v>
      </c>
      <c r="E38" s="222" t="s">
        <v>114</v>
      </c>
      <c r="H38" s="221" t="s">
        <v>112</v>
      </c>
      <c r="I38" s="222" t="s">
        <v>113</v>
      </c>
      <c r="J38" s="222" t="s">
        <v>114</v>
      </c>
      <c r="K38" s="219"/>
      <c r="M38" s="221" t="s">
        <v>112</v>
      </c>
      <c r="N38" s="222" t="s">
        <v>113</v>
      </c>
      <c r="O38" s="222" t="s">
        <v>114</v>
      </c>
      <c r="P38" s="219"/>
      <c r="Q38" s="219"/>
      <c r="S38" s="453"/>
      <c r="T38" s="453"/>
      <c r="U38" s="453"/>
      <c r="V38" s="453"/>
      <c r="W38" s="453"/>
      <c r="X38" s="453"/>
    </row>
    <row r="39" spans="1:26" s="241" customFormat="1" ht="25.5" customHeight="1">
      <c r="A39" s="240"/>
      <c r="B39" s="211"/>
      <c r="C39" s="224"/>
      <c r="D39" s="225">
        <v>20</v>
      </c>
      <c r="E39" s="226" t="s">
        <v>198</v>
      </c>
      <c r="G39" s="219"/>
      <c r="H39" s="224"/>
      <c r="I39" s="225">
        <v>80</v>
      </c>
      <c r="J39" s="226" t="s">
        <v>198</v>
      </c>
      <c r="K39" s="212"/>
      <c r="L39" s="211"/>
      <c r="M39" s="224"/>
      <c r="N39" s="225">
        <v>200</v>
      </c>
      <c r="O39" s="226" t="s">
        <v>198</v>
      </c>
      <c r="P39" s="240"/>
      <c r="S39" s="453"/>
      <c r="T39" s="453"/>
      <c r="U39" s="453"/>
      <c r="V39" s="453"/>
      <c r="W39" s="453"/>
      <c r="X39" s="453"/>
    </row>
    <row r="40" spans="1:26" s="211" customFormat="1">
      <c r="A40" s="227"/>
      <c r="B40" s="228" t="s">
        <v>20</v>
      </c>
      <c r="C40" s="516" t="s">
        <v>289</v>
      </c>
      <c r="D40" s="516" t="s">
        <v>290</v>
      </c>
      <c r="E40" s="229"/>
      <c r="G40" s="228" t="s">
        <v>20</v>
      </c>
      <c r="H40" s="516" t="s">
        <v>289</v>
      </c>
      <c r="I40" s="516" t="s">
        <v>290</v>
      </c>
      <c r="J40" s="229"/>
      <c r="L40" s="228" t="s">
        <v>20</v>
      </c>
      <c r="M40" s="516" t="s">
        <v>289</v>
      </c>
      <c r="N40" s="516" t="s">
        <v>290</v>
      </c>
      <c r="O40" s="229"/>
      <c r="P40" s="234" t="s">
        <v>29</v>
      </c>
      <c r="Q40" s="235">
        <v>9.0000000000000002E-6</v>
      </c>
      <c r="R40" s="241"/>
      <c r="S40" s="453"/>
      <c r="T40" s="453"/>
      <c r="U40" s="453"/>
      <c r="V40" s="453"/>
      <c r="W40" s="453"/>
      <c r="X40" s="453"/>
    </row>
    <row r="41" spans="1:26" s="211" customFormat="1" ht="14">
      <c r="A41" s="227"/>
      <c r="B41" s="230">
        <v>1</v>
      </c>
      <c r="C41" s="517">
        <v>20.53</v>
      </c>
      <c r="D41" s="517">
        <v>19.86</v>
      </c>
      <c r="E41" s="242"/>
      <c r="F41" s="233"/>
      <c r="G41" s="230">
        <v>1</v>
      </c>
      <c r="H41" s="517">
        <v>78.510000000000005</v>
      </c>
      <c r="I41" s="517">
        <v>80.97</v>
      </c>
      <c r="J41" s="232"/>
      <c r="L41" s="230">
        <v>1</v>
      </c>
      <c r="M41" s="518">
        <v>200.56</v>
      </c>
      <c r="N41" s="518">
        <v>202.46</v>
      </c>
      <c r="O41" s="232"/>
      <c r="P41" s="236" t="s">
        <v>30</v>
      </c>
      <c r="Q41" s="237">
        <v>1.21E-2</v>
      </c>
      <c r="R41" s="241"/>
      <c r="S41" s="453"/>
      <c r="T41" s="453"/>
      <c r="U41" s="453"/>
      <c r="V41" s="453"/>
      <c r="W41" s="453"/>
      <c r="X41" s="453"/>
    </row>
    <row r="42" spans="1:26" s="211" customFormat="1" ht="14">
      <c r="A42" s="227"/>
      <c r="B42" s="230">
        <v>2</v>
      </c>
      <c r="C42" s="517">
        <v>19.87</v>
      </c>
      <c r="D42" s="517">
        <v>19.87</v>
      </c>
      <c r="E42" s="242"/>
      <c r="F42" s="233"/>
      <c r="G42" s="230">
        <v>2</v>
      </c>
      <c r="H42" s="517">
        <v>80.66</v>
      </c>
      <c r="I42" s="517">
        <v>80.599999999999994</v>
      </c>
      <c r="J42" s="232"/>
      <c r="L42" s="230">
        <v>2</v>
      </c>
      <c r="M42" s="518">
        <v>197.58</v>
      </c>
      <c r="N42" s="518">
        <v>196.13</v>
      </c>
      <c r="O42" s="232"/>
      <c r="P42" s="236" t="s">
        <v>116</v>
      </c>
      <c r="Q42" s="237">
        <v>-2.01E-2</v>
      </c>
      <c r="R42" s="241"/>
      <c r="S42" s="453"/>
      <c r="T42" s="453"/>
      <c r="U42" s="453"/>
      <c r="V42" s="453"/>
      <c r="W42" s="453"/>
      <c r="X42" s="453"/>
    </row>
    <row r="43" spans="1:26" s="211" customFormat="1">
      <c r="A43" s="227"/>
      <c r="B43" s="230">
        <v>3</v>
      </c>
      <c r="C43" s="517">
        <v>19.7</v>
      </c>
      <c r="D43" s="517">
        <v>19.96</v>
      </c>
      <c r="E43" s="242"/>
      <c r="F43" s="233"/>
      <c r="G43" s="230">
        <v>3</v>
      </c>
      <c r="H43" s="517">
        <v>79.77</v>
      </c>
      <c r="I43" s="517">
        <v>80.39</v>
      </c>
      <c r="J43" s="232"/>
      <c r="L43" s="230">
        <v>3</v>
      </c>
      <c r="M43" s="518">
        <v>203.62</v>
      </c>
      <c r="N43" s="518">
        <v>202.21</v>
      </c>
      <c r="O43" s="232"/>
      <c r="P43" s="240"/>
      <c r="Q43" s="241"/>
      <c r="R43" s="241"/>
      <c r="S43" s="453"/>
      <c r="T43" s="453"/>
      <c r="U43" s="453"/>
      <c r="V43" s="453"/>
      <c r="W43" s="453"/>
      <c r="X43" s="453"/>
      <c r="Y43" s="241"/>
      <c r="Z43" s="241"/>
    </row>
    <row r="44" spans="1:26" s="211" customFormat="1">
      <c r="A44" s="227"/>
      <c r="B44" s="230">
        <v>4</v>
      </c>
      <c r="C44" s="517">
        <v>19.850000000000001</v>
      </c>
      <c r="D44" s="517">
        <v>19.940000000000001</v>
      </c>
      <c r="E44" s="242"/>
      <c r="F44" s="233"/>
      <c r="G44" s="230">
        <v>4</v>
      </c>
      <c r="H44" s="517">
        <v>80.150000000000006</v>
      </c>
      <c r="I44" s="517">
        <v>80.400000000000006</v>
      </c>
      <c r="J44" s="232"/>
      <c r="L44" s="230">
        <v>4</v>
      </c>
      <c r="M44" s="518">
        <v>195.88</v>
      </c>
      <c r="N44" s="518">
        <v>201.32</v>
      </c>
      <c r="O44" s="232"/>
      <c r="P44" s="240"/>
      <c r="Q44" s="241"/>
      <c r="R44" s="241"/>
      <c r="S44" s="453"/>
      <c r="T44" s="453"/>
      <c r="U44" s="453"/>
      <c r="V44" s="453"/>
      <c r="W44" s="453"/>
      <c r="X44" s="453"/>
    </row>
    <row r="45" spans="1:26" s="211" customFormat="1">
      <c r="A45" s="227"/>
      <c r="B45" s="230">
        <v>5</v>
      </c>
      <c r="C45" s="517">
        <v>20.2</v>
      </c>
      <c r="D45" s="517">
        <v>19.829999999999998</v>
      </c>
      <c r="E45" s="243"/>
      <c r="F45" s="233"/>
      <c r="G45" s="230">
        <v>5</v>
      </c>
      <c r="H45" s="517">
        <v>81.53</v>
      </c>
      <c r="I45" s="517">
        <v>80.099999999999994</v>
      </c>
      <c r="J45" s="238"/>
      <c r="K45" s="233"/>
      <c r="L45" s="230">
        <v>5</v>
      </c>
      <c r="M45" s="518">
        <v>199.75</v>
      </c>
      <c r="N45" s="518">
        <v>195.4</v>
      </c>
      <c r="O45" s="238"/>
      <c r="P45" s="240"/>
      <c r="Q45" s="241"/>
      <c r="R45" s="241"/>
      <c r="S45" s="453"/>
      <c r="T45" s="453"/>
      <c r="U45" s="453"/>
      <c r="V45" s="453"/>
      <c r="W45" s="453"/>
      <c r="X45" s="453"/>
    </row>
    <row r="46" spans="1:26" s="211" customFormat="1">
      <c r="A46" s="227"/>
      <c r="B46" s="230">
        <v>6</v>
      </c>
      <c r="C46" s="517">
        <v>19.809999999999999</v>
      </c>
      <c r="D46" s="517">
        <v>20.27</v>
      </c>
      <c r="E46" s="243"/>
      <c r="F46" s="233"/>
      <c r="G46" s="230">
        <v>6</v>
      </c>
      <c r="H46" s="517">
        <v>80.91</v>
      </c>
      <c r="I46" s="517">
        <v>80.180000000000007</v>
      </c>
      <c r="J46" s="238"/>
      <c r="L46" s="230">
        <v>6</v>
      </c>
      <c r="M46" s="518">
        <v>202.64</v>
      </c>
      <c r="N46" s="518">
        <v>201.22</v>
      </c>
      <c r="O46" s="238"/>
      <c r="P46" s="240"/>
      <c r="Q46" s="241"/>
      <c r="R46" s="241"/>
      <c r="S46" s="453"/>
      <c r="T46" s="453"/>
      <c r="U46" s="453"/>
      <c r="V46" s="453"/>
      <c r="W46" s="453"/>
      <c r="X46" s="453"/>
    </row>
    <row r="47" spans="1:26" s="211" customFormat="1">
      <c r="A47" s="227"/>
      <c r="B47" s="230">
        <v>7</v>
      </c>
      <c r="C47" s="517">
        <v>20.100000000000001</v>
      </c>
      <c r="D47" s="517">
        <v>19.809999999999999</v>
      </c>
      <c r="E47" s="243"/>
      <c r="F47" s="233"/>
      <c r="G47" s="230">
        <v>7</v>
      </c>
      <c r="H47" s="517">
        <v>81.55</v>
      </c>
      <c r="I47" s="517">
        <v>80.75</v>
      </c>
      <c r="J47" s="238"/>
      <c r="L47" s="230">
        <v>7</v>
      </c>
      <c r="M47" s="518">
        <v>198.19</v>
      </c>
      <c r="N47" s="518">
        <v>202.07</v>
      </c>
      <c r="O47" s="238"/>
      <c r="P47" s="240"/>
      <c r="Q47" s="241"/>
      <c r="R47" s="241"/>
      <c r="S47" s="453"/>
      <c r="T47" s="453"/>
      <c r="U47" s="453"/>
      <c r="V47" s="453"/>
      <c r="W47" s="453"/>
      <c r="X47" s="453"/>
      <c r="Y47" s="241"/>
      <c r="Z47" s="241"/>
    </row>
    <row r="48" spans="1:26" s="211" customFormat="1">
      <c r="A48" s="227"/>
      <c r="B48" s="230">
        <v>8</v>
      </c>
      <c r="C48" s="517">
        <v>20.16</v>
      </c>
      <c r="D48" s="517">
        <v>20.04</v>
      </c>
      <c r="E48" s="243"/>
      <c r="F48" s="233"/>
      <c r="G48" s="230">
        <v>8</v>
      </c>
      <c r="H48" s="517">
        <v>80.760000000000005</v>
      </c>
      <c r="I48" s="517">
        <v>78.58</v>
      </c>
      <c r="J48" s="238"/>
      <c r="L48" s="230">
        <v>8</v>
      </c>
      <c r="M48" s="518">
        <v>196.29</v>
      </c>
      <c r="N48" s="518">
        <v>201.05</v>
      </c>
      <c r="O48" s="238"/>
      <c r="P48" s="240"/>
      <c r="Q48" s="241"/>
      <c r="R48" s="241"/>
      <c r="S48" s="453"/>
      <c r="T48" s="453"/>
      <c r="U48" s="453"/>
      <c r="V48" s="453"/>
      <c r="W48" s="453"/>
      <c r="X48" s="453"/>
    </row>
    <row r="49" spans="1:33" s="211" customFormat="1">
      <c r="A49" s="227"/>
      <c r="B49" s="230">
        <v>9</v>
      </c>
      <c r="C49" s="517">
        <v>20.41</v>
      </c>
      <c r="D49" s="517">
        <v>20.260000000000002</v>
      </c>
      <c r="E49" s="243"/>
      <c r="F49" s="233"/>
      <c r="G49" s="230">
        <v>9</v>
      </c>
      <c r="H49" s="517">
        <v>80.430000000000007</v>
      </c>
      <c r="I49" s="517">
        <v>79.13</v>
      </c>
      <c r="J49" s="238"/>
      <c r="L49" s="230">
        <v>9</v>
      </c>
      <c r="M49" s="518">
        <v>198.74</v>
      </c>
      <c r="N49" s="518">
        <v>202.65</v>
      </c>
      <c r="O49" s="238"/>
      <c r="P49" s="240"/>
      <c r="Q49" s="241"/>
      <c r="R49" s="241"/>
      <c r="S49" s="453"/>
      <c r="T49" s="453"/>
      <c r="U49" s="453"/>
      <c r="V49" s="453"/>
      <c r="W49" s="453"/>
      <c r="X49" s="453"/>
    </row>
    <row r="50" spans="1:33" s="211" customFormat="1">
      <c r="A50" s="227"/>
      <c r="B50" s="230">
        <v>10</v>
      </c>
      <c r="C50" s="517">
        <v>20.02</v>
      </c>
      <c r="D50" s="517">
        <v>19.829999999999998</v>
      </c>
      <c r="E50" s="244"/>
      <c r="F50" s="233"/>
      <c r="G50" s="230">
        <v>10</v>
      </c>
      <c r="H50" s="517">
        <v>79.040000000000006</v>
      </c>
      <c r="I50" s="517">
        <v>77.900000000000006</v>
      </c>
      <c r="J50" s="238"/>
      <c r="L50" s="230">
        <v>10</v>
      </c>
      <c r="M50" s="518">
        <v>203.71</v>
      </c>
      <c r="N50" s="518">
        <v>199.06</v>
      </c>
      <c r="O50" s="238"/>
      <c r="S50" s="453"/>
      <c r="T50" s="453"/>
      <c r="U50" s="453"/>
      <c r="V50" s="453"/>
      <c r="W50" s="453"/>
      <c r="X50" s="453"/>
    </row>
    <row r="51" spans="1:33" s="211" customFormat="1">
      <c r="A51" s="227"/>
      <c r="B51" s="227"/>
      <c r="C51" s="227"/>
      <c r="D51" s="227"/>
      <c r="E51" s="227"/>
      <c r="F51" s="227"/>
      <c r="G51" s="227"/>
      <c r="H51" s="227"/>
      <c r="I51" s="227"/>
      <c r="J51" s="227"/>
      <c r="K51" s="227"/>
      <c r="L51" s="227"/>
      <c r="M51" s="227"/>
      <c r="N51" s="227"/>
      <c r="O51" s="227"/>
      <c r="P51" s="227"/>
      <c r="Q51" s="227"/>
      <c r="R51" s="227"/>
      <c r="S51" s="453"/>
      <c r="T51" s="453"/>
      <c r="U51" s="453"/>
      <c r="V51" s="453"/>
      <c r="W51" s="453"/>
      <c r="X51" s="453"/>
    </row>
    <row r="52" spans="1:33" ht="20.25" customHeight="1">
      <c r="A52" s="454" t="s">
        <v>215</v>
      </c>
      <c r="B52" s="454"/>
      <c r="C52" s="454"/>
      <c r="D52" s="454"/>
      <c r="E52" s="454"/>
      <c r="F52" s="454"/>
      <c r="G52" s="454"/>
      <c r="H52" s="454"/>
      <c r="I52" s="454"/>
      <c r="J52" s="454"/>
      <c r="K52" s="454"/>
      <c r="L52" s="454"/>
      <c r="M52" s="454"/>
      <c r="N52" s="454"/>
      <c r="O52" s="454"/>
      <c r="P52" s="454"/>
      <c r="Q52" s="454"/>
      <c r="T52" s="211"/>
      <c r="U52" s="211"/>
      <c r="V52" s="211"/>
      <c r="W52" s="211"/>
      <c r="X52" s="211"/>
    </row>
    <row r="53" spans="1:33" ht="15">
      <c r="A53" s="211"/>
      <c r="B53" s="245" t="s">
        <v>219</v>
      </c>
      <c r="C53" s="246"/>
      <c r="D53" s="246"/>
      <c r="E53" s="246"/>
      <c r="F53" s="246"/>
      <c r="G53" s="246"/>
      <c r="H53" s="247"/>
      <c r="I53" s="247"/>
      <c r="J53" s="219"/>
      <c r="K53" s="212"/>
      <c r="L53" s="211"/>
      <c r="M53" s="211"/>
      <c r="N53" s="211"/>
      <c r="O53" s="248"/>
      <c r="P53" s="248"/>
      <c r="Q53" s="211"/>
      <c r="T53" s="211"/>
      <c r="U53" s="211"/>
      <c r="V53" s="211"/>
      <c r="W53" s="211"/>
      <c r="X53" s="211"/>
      <c r="Y53" s="212"/>
      <c r="Z53" s="212"/>
      <c r="AA53" s="212"/>
      <c r="AB53" s="212"/>
      <c r="AC53" s="212"/>
      <c r="AD53" s="212"/>
      <c r="AE53" s="212"/>
      <c r="AF53" s="212"/>
      <c r="AG53" s="212"/>
    </row>
    <row r="54" spans="1:33" ht="5.25" customHeight="1">
      <c r="A54" s="211"/>
      <c r="B54" s="249"/>
      <c r="C54" s="246"/>
      <c r="D54" s="246"/>
      <c r="E54" s="246"/>
      <c r="F54" s="246"/>
      <c r="G54" s="246"/>
      <c r="H54" s="247"/>
      <c r="I54" s="247"/>
      <c r="J54" s="219"/>
      <c r="K54" s="212"/>
      <c r="O54" s="212"/>
      <c r="P54" s="212"/>
      <c r="Q54" s="212"/>
      <c r="R54" s="212"/>
      <c r="S54" s="212"/>
      <c r="T54" s="211"/>
      <c r="U54" s="211"/>
      <c r="V54" s="211"/>
      <c r="W54" s="211"/>
      <c r="X54" s="211"/>
      <c r="Y54" s="212"/>
      <c r="Z54" s="212"/>
      <c r="AA54" s="212"/>
      <c r="AB54" s="212"/>
      <c r="AC54" s="212"/>
      <c r="AD54" s="212"/>
      <c r="AE54" s="212"/>
      <c r="AF54" s="212"/>
      <c r="AG54" s="212"/>
    </row>
    <row r="55" spans="1:33" ht="17.75" customHeight="1">
      <c r="A55" s="211"/>
      <c r="B55" s="456" t="s">
        <v>94</v>
      </c>
      <c r="C55" s="456"/>
      <c r="D55" s="457" t="s">
        <v>18</v>
      </c>
      <c r="E55" s="457"/>
      <c r="F55" s="458" t="s">
        <v>95</v>
      </c>
      <c r="G55" s="459"/>
      <c r="H55" s="514" t="s">
        <v>283</v>
      </c>
      <c r="I55" s="515"/>
      <c r="J55" s="219"/>
      <c r="K55" s="212"/>
      <c r="O55" s="212"/>
      <c r="P55" s="212"/>
      <c r="Q55" s="212"/>
      <c r="R55" s="212"/>
      <c r="S55" s="212"/>
      <c r="T55" s="211"/>
      <c r="U55" s="211"/>
      <c r="V55" s="211"/>
      <c r="W55" s="211"/>
      <c r="X55" s="211"/>
      <c r="Y55" s="212"/>
      <c r="Z55" s="212"/>
      <c r="AA55" s="212"/>
      <c r="AB55" s="212"/>
      <c r="AC55" s="212"/>
      <c r="AD55" s="212"/>
      <c r="AE55" s="212"/>
      <c r="AF55" s="212"/>
      <c r="AG55" s="212"/>
    </row>
    <row r="56" spans="1:33" ht="17.75" customHeight="1">
      <c r="A56" s="211"/>
      <c r="B56" s="456" t="s">
        <v>127</v>
      </c>
      <c r="C56" s="456"/>
      <c r="D56" s="521" t="s">
        <v>291</v>
      </c>
      <c r="E56" s="520"/>
      <c r="F56" s="458" t="s">
        <v>216</v>
      </c>
      <c r="G56" s="459"/>
      <c r="H56" s="519">
        <v>45902</v>
      </c>
      <c r="I56" s="520"/>
      <c r="J56" s="219"/>
      <c r="K56" s="212"/>
      <c r="O56" s="212"/>
      <c r="P56" s="212"/>
      <c r="Q56" s="212"/>
      <c r="R56" s="212"/>
      <c r="S56" s="212"/>
      <c r="T56" s="211"/>
      <c r="U56" s="211"/>
      <c r="V56" s="211"/>
      <c r="W56" s="211"/>
      <c r="X56" s="211"/>
      <c r="Y56" s="212"/>
      <c r="Z56" s="212"/>
      <c r="AA56" s="212"/>
      <c r="AB56" s="212"/>
      <c r="AC56" s="212"/>
      <c r="AD56" s="212"/>
      <c r="AE56" s="212"/>
      <c r="AF56" s="212"/>
      <c r="AG56" s="212"/>
    </row>
    <row r="57" spans="1:33" ht="5.25" customHeight="1">
      <c r="A57" s="211"/>
      <c r="B57" s="211"/>
      <c r="C57" s="211"/>
      <c r="D57" s="211"/>
      <c r="E57" s="219"/>
      <c r="F57" s="211"/>
      <c r="G57" s="211"/>
      <c r="H57" s="219"/>
      <c r="I57" s="219"/>
      <c r="J57" s="219"/>
      <c r="K57" s="212"/>
      <c r="O57" s="212"/>
      <c r="P57" s="212"/>
      <c r="Q57" s="212"/>
      <c r="R57" s="212"/>
      <c r="S57" s="212"/>
      <c r="T57" s="211"/>
      <c r="U57" s="211"/>
      <c r="V57" s="211"/>
      <c r="W57" s="211"/>
      <c r="X57" s="211"/>
      <c r="Y57" s="212"/>
      <c r="Z57" s="212"/>
      <c r="AA57" s="212"/>
      <c r="AB57" s="212"/>
      <c r="AC57" s="212"/>
      <c r="AD57" s="212"/>
      <c r="AE57" s="212"/>
      <c r="AF57" s="212"/>
      <c r="AG57" s="212"/>
    </row>
    <row r="58" spans="1:33">
      <c r="A58" s="211"/>
      <c r="C58" s="245" t="s">
        <v>217</v>
      </c>
      <c r="D58" s="211"/>
      <c r="E58" s="219"/>
      <c r="F58" s="211"/>
      <c r="G58" s="211"/>
      <c r="H58" s="219"/>
      <c r="I58" s="219"/>
      <c r="J58" s="219"/>
      <c r="K58" s="212"/>
      <c r="O58" s="211"/>
      <c r="P58" s="211"/>
      <c r="Q58" s="219"/>
      <c r="T58" s="211"/>
      <c r="U58" s="211"/>
      <c r="V58" s="211"/>
      <c r="W58" s="211"/>
      <c r="X58" s="211"/>
      <c r="Y58" s="212"/>
      <c r="Z58" s="212"/>
      <c r="AA58" s="212"/>
      <c r="AB58" s="212"/>
      <c r="AC58" s="212"/>
      <c r="AD58" s="212"/>
      <c r="AE58" s="212"/>
      <c r="AF58" s="212"/>
      <c r="AG58" s="212"/>
    </row>
    <row r="59" spans="1:33" ht="5.25" customHeight="1">
      <c r="A59" s="211"/>
      <c r="B59" s="251"/>
      <c r="C59" s="211"/>
      <c r="D59" s="211"/>
      <c r="E59" s="219"/>
      <c r="F59" s="211"/>
      <c r="G59" s="211"/>
      <c r="H59" s="219"/>
      <c r="I59" s="219"/>
      <c r="J59" s="219"/>
      <c r="K59" s="212"/>
      <c r="O59" s="211"/>
      <c r="P59" s="211"/>
      <c r="Q59" s="219"/>
      <c r="T59" s="211"/>
      <c r="U59" s="211"/>
      <c r="V59" s="211"/>
      <c r="W59" s="211"/>
      <c r="X59" s="211"/>
      <c r="Y59" s="212"/>
      <c r="Z59" s="212"/>
      <c r="AA59" s="212"/>
      <c r="AB59" s="212"/>
      <c r="AC59" s="212"/>
      <c r="AD59" s="212"/>
      <c r="AE59" s="212"/>
      <c r="AF59" s="212"/>
      <c r="AG59" s="212"/>
    </row>
    <row r="60" spans="1:33" ht="14">
      <c r="A60" s="211"/>
      <c r="B60" s="252" t="s">
        <v>19</v>
      </c>
      <c r="C60" s="253" t="s">
        <v>12</v>
      </c>
      <c r="D60" s="254" t="s">
        <v>13</v>
      </c>
      <c r="E60" s="522">
        <v>6.7999999999999995E-7</v>
      </c>
      <c r="F60" s="255" t="s">
        <v>12</v>
      </c>
      <c r="G60" s="211"/>
      <c r="H60" s="219"/>
      <c r="I60" s="219"/>
      <c r="J60" s="219"/>
      <c r="K60" s="212"/>
      <c r="O60" s="211"/>
      <c r="P60" s="211"/>
      <c r="Q60" s="219"/>
      <c r="T60" s="211"/>
      <c r="U60" s="211"/>
      <c r="V60" s="211"/>
      <c r="W60" s="211"/>
      <c r="X60" s="211"/>
      <c r="Y60" s="212"/>
      <c r="Z60" s="212"/>
      <c r="AA60" s="212"/>
      <c r="AB60" s="212"/>
      <c r="AC60" s="212"/>
      <c r="AD60" s="212"/>
      <c r="AE60" s="212"/>
      <c r="AF60" s="212"/>
      <c r="AG60" s="212"/>
    </row>
    <row r="61" spans="1:33" ht="5.25" customHeight="1">
      <c r="A61" s="211"/>
      <c r="B61" s="211"/>
      <c r="C61" s="211"/>
      <c r="D61" s="211"/>
      <c r="E61" s="219"/>
      <c r="F61" s="211"/>
      <c r="G61" s="211"/>
      <c r="H61" s="219"/>
      <c r="I61" s="219"/>
      <c r="J61" s="219"/>
      <c r="K61" s="212"/>
      <c r="O61" s="211"/>
      <c r="P61" s="211"/>
      <c r="Q61" s="219"/>
      <c r="T61" s="211"/>
      <c r="U61" s="211"/>
      <c r="V61" s="211"/>
      <c r="W61" s="211"/>
      <c r="X61" s="211"/>
      <c r="Y61" s="212"/>
      <c r="Z61" s="212"/>
      <c r="AA61" s="212"/>
      <c r="AB61" s="212"/>
      <c r="AC61" s="212"/>
      <c r="AD61" s="212"/>
      <c r="AE61" s="212"/>
      <c r="AF61" s="212"/>
      <c r="AG61" s="212"/>
    </row>
    <row r="62" spans="1:33">
      <c r="A62" s="211"/>
      <c r="C62" s="245" t="s">
        <v>218</v>
      </c>
      <c r="D62" s="211"/>
      <c r="E62" s="219"/>
      <c r="F62" s="211"/>
      <c r="G62" s="211"/>
      <c r="H62" s="219"/>
      <c r="I62" s="219"/>
      <c r="J62" s="219"/>
      <c r="K62" s="212"/>
      <c r="O62" s="211"/>
      <c r="P62" s="211"/>
      <c r="Q62" s="219"/>
      <c r="T62" s="211"/>
      <c r="U62" s="211"/>
      <c r="V62" s="211"/>
      <c r="W62" s="211"/>
      <c r="X62" s="211"/>
      <c r="Y62" s="212"/>
      <c r="Z62" s="212"/>
      <c r="AA62" s="212"/>
      <c r="AB62" s="212"/>
      <c r="AC62" s="212"/>
      <c r="AD62" s="212"/>
      <c r="AE62" s="212"/>
      <c r="AF62" s="212"/>
      <c r="AG62" s="212"/>
    </row>
    <row r="63" spans="1:33" ht="5.25" customHeight="1">
      <c r="A63" s="211"/>
      <c r="B63" s="251"/>
      <c r="C63" s="211"/>
      <c r="D63" s="211"/>
      <c r="E63" s="219"/>
      <c r="F63" s="211"/>
      <c r="G63" s="211"/>
      <c r="H63" s="219"/>
      <c r="I63" s="219"/>
      <c r="J63" s="219"/>
      <c r="K63" s="212"/>
      <c r="O63" s="211"/>
      <c r="P63" s="211"/>
      <c r="Q63" s="219"/>
      <c r="T63" s="211"/>
      <c r="U63" s="211"/>
      <c r="V63" s="211"/>
      <c r="W63" s="211"/>
      <c r="X63" s="211"/>
      <c r="Y63" s="212"/>
      <c r="Z63" s="212"/>
      <c r="AA63" s="212"/>
      <c r="AB63" s="212"/>
      <c r="AC63" s="212"/>
      <c r="AD63" s="212"/>
      <c r="AE63" s="212"/>
      <c r="AF63" s="212"/>
      <c r="AG63" s="212"/>
    </row>
    <row r="64" spans="1:33" ht="15.75" customHeight="1">
      <c r="A64" s="211"/>
      <c r="B64" s="256" t="s">
        <v>206</v>
      </c>
      <c r="C64" s="463"/>
      <c r="D64" s="463"/>
      <c r="E64" s="463"/>
      <c r="F64" s="211"/>
      <c r="G64" s="211"/>
      <c r="H64" s="219"/>
      <c r="I64" s="219"/>
      <c r="J64" s="219"/>
      <c r="K64" s="212"/>
      <c r="O64" s="211"/>
      <c r="P64" s="211"/>
      <c r="Q64" s="219"/>
      <c r="T64" s="211"/>
      <c r="U64" s="211"/>
      <c r="V64" s="211"/>
      <c r="W64" s="211"/>
      <c r="X64" s="211"/>
      <c r="Y64" s="212"/>
      <c r="Z64" s="212"/>
      <c r="AA64" s="212"/>
      <c r="AB64" s="212"/>
      <c r="AC64" s="212"/>
      <c r="AD64" s="212"/>
      <c r="AE64" s="212"/>
      <c r="AF64" s="212"/>
      <c r="AG64" s="212"/>
    </row>
    <row r="65" spans="1:33">
      <c r="A65" s="211"/>
      <c r="B65" s="211"/>
      <c r="C65" s="211"/>
      <c r="D65" s="211"/>
      <c r="E65" s="219"/>
      <c r="F65" s="211"/>
      <c r="G65" s="211"/>
      <c r="H65" s="219"/>
      <c r="I65" s="219"/>
      <c r="J65" s="219"/>
      <c r="K65" s="212"/>
      <c r="O65" s="211"/>
      <c r="P65" s="211"/>
      <c r="Q65" s="219"/>
      <c r="T65" s="211"/>
      <c r="U65" s="211"/>
      <c r="V65" s="211"/>
      <c r="W65" s="211"/>
      <c r="X65" s="211"/>
      <c r="Y65" s="212"/>
      <c r="Z65" s="212"/>
      <c r="AA65" s="212"/>
      <c r="AB65" s="212"/>
      <c r="AC65" s="212"/>
      <c r="AD65" s="212"/>
      <c r="AE65" s="212"/>
      <c r="AF65" s="212"/>
      <c r="AG65" s="212"/>
    </row>
    <row r="66" spans="1:33">
      <c r="A66" s="211"/>
      <c r="B66" s="257" t="s">
        <v>8</v>
      </c>
      <c r="C66" s="258" t="s">
        <v>29</v>
      </c>
      <c r="D66" s="523">
        <v>5.2000000000000002E-9</v>
      </c>
      <c r="E66" s="259"/>
      <c r="F66" s="259"/>
      <c r="G66" s="259"/>
      <c r="H66" s="259"/>
      <c r="I66" s="259"/>
      <c r="J66" s="259"/>
      <c r="K66" s="259"/>
      <c r="L66" s="259"/>
      <c r="M66" s="259"/>
      <c r="N66" s="259"/>
      <c r="O66" s="259"/>
      <c r="P66" s="259"/>
      <c r="Q66" s="259"/>
      <c r="T66" s="211"/>
      <c r="U66" s="211"/>
      <c r="V66" s="211"/>
      <c r="W66" s="211"/>
      <c r="X66" s="211"/>
      <c r="Y66" s="212"/>
      <c r="Z66" s="212"/>
      <c r="AA66" s="212"/>
      <c r="AB66" s="212"/>
      <c r="AC66" s="212"/>
      <c r="AD66" s="212"/>
      <c r="AE66" s="212"/>
      <c r="AF66" s="212"/>
      <c r="AG66" s="212"/>
    </row>
    <row r="67" spans="1:33">
      <c r="A67" s="211"/>
      <c r="B67" s="211"/>
      <c r="C67" s="258" t="s">
        <v>30</v>
      </c>
      <c r="D67" s="523">
        <v>2.1E-10</v>
      </c>
      <c r="E67" s="259"/>
      <c r="F67" s="259"/>
      <c r="G67" s="259"/>
      <c r="H67" s="259"/>
      <c r="I67" s="259"/>
      <c r="J67" s="259"/>
      <c r="K67" s="259"/>
      <c r="L67" s="259"/>
      <c r="M67" s="259"/>
      <c r="N67" s="259"/>
      <c r="O67" s="259"/>
      <c r="P67" s="259"/>
      <c r="Q67" s="259"/>
      <c r="T67" s="211"/>
      <c r="U67" s="211"/>
      <c r="V67" s="211"/>
      <c r="W67" s="211"/>
      <c r="X67" s="211"/>
      <c r="Y67" s="212"/>
      <c r="Z67" s="212"/>
      <c r="AA67" s="212"/>
      <c r="AB67" s="212"/>
      <c r="AC67" s="212"/>
      <c r="AD67" s="212"/>
      <c r="AE67" s="212"/>
      <c r="AF67" s="212"/>
      <c r="AG67" s="212"/>
    </row>
    <row r="68" spans="1:33">
      <c r="A68" s="211"/>
      <c r="B68" s="211"/>
      <c r="C68" s="211"/>
      <c r="D68" s="219"/>
      <c r="E68" s="211"/>
      <c r="F68" s="211"/>
      <c r="G68" s="211"/>
      <c r="H68" s="211"/>
      <c r="I68" s="211"/>
      <c r="J68" s="211"/>
      <c r="K68" s="211"/>
      <c r="L68" s="211"/>
      <c r="M68" s="211"/>
      <c r="N68" s="211"/>
      <c r="O68" s="211"/>
      <c r="P68" s="211"/>
      <c r="Q68" s="211"/>
      <c r="T68" s="211"/>
      <c r="U68" s="211"/>
      <c r="V68" s="211"/>
      <c r="W68" s="211"/>
      <c r="X68" s="211"/>
      <c r="Y68" s="212"/>
      <c r="Z68" s="212"/>
      <c r="AA68" s="212"/>
      <c r="AB68" s="212"/>
      <c r="AC68" s="212"/>
      <c r="AD68" s="212"/>
      <c r="AE68" s="212"/>
      <c r="AF68" s="212"/>
      <c r="AG68" s="212"/>
    </row>
    <row r="69" spans="1:33" s="261" customFormat="1">
      <c r="A69" s="260"/>
      <c r="B69" s="245" t="s">
        <v>236</v>
      </c>
      <c r="D69" s="260"/>
      <c r="E69" s="260"/>
      <c r="F69" s="260"/>
      <c r="G69" s="260"/>
      <c r="H69" s="262"/>
      <c r="K69" s="263"/>
      <c r="L69" s="260"/>
      <c r="M69" s="260"/>
    </row>
    <row r="70" spans="1:33" ht="5.25" customHeight="1">
      <c r="A70" s="211"/>
      <c r="B70" s="249"/>
      <c r="C70" s="246"/>
      <c r="D70" s="246"/>
      <c r="E70" s="246"/>
      <c r="F70" s="246"/>
      <c r="G70" s="246"/>
      <c r="H70" s="247"/>
      <c r="I70" s="247"/>
      <c r="J70" s="219"/>
      <c r="K70" s="219"/>
      <c r="L70" s="211"/>
      <c r="M70" s="211"/>
      <c r="N70" s="211"/>
      <c r="O70" s="248"/>
      <c r="P70" s="248"/>
      <c r="Q70" s="211"/>
      <c r="T70" s="211"/>
      <c r="U70" s="211"/>
      <c r="V70" s="211"/>
      <c r="W70" s="211"/>
      <c r="X70" s="211"/>
      <c r="Y70" s="212"/>
      <c r="Z70" s="212"/>
      <c r="AA70" s="212"/>
      <c r="AB70" s="212"/>
      <c r="AC70" s="212"/>
      <c r="AD70" s="212"/>
      <c r="AE70" s="212"/>
      <c r="AF70" s="212"/>
      <c r="AG70" s="212"/>
    </row>
    <row r="71" spans="1:33" ht="17.75" customHeight="1">
      <c r="A71" s="211"/>
      <c r="B71" s="456" t="s">
        <v>94</v>
      </c>
      <c r="C71" s="456"/>
      <c r="D71" s="457" t="s">
        <v>130</v>
      </c>
      <c r="E71" s="457"/>
      <c r="F71" s="458" t="s">
        <v>95</v>
      </c>
      <c r="G71" s="459"/>
      <c r="H71" s="514" t="s">
        <v>284</v>
      </c>
      <c r="I71" s="515"/>
      <c r="J71" s="219"/>
      <c r="K71" s="219"/>
      <c r="N71" s="211"/>
      <c r="O71" s="248"/>
      <c r="P71" s="248"/>
      <c r="Q71" s="211"/>
      <c r="T71" s="211"/>
      <c r="U71" s="211"/>
      <c r="V71" s="211"/>
      <c r="W71" s="211"/>
      <c r="X71" s="211"/>
      <c r="Y71" s="212"/>
      <c r="Z71" s="212"/>
      <c r="AA71" s="212"/>
      <c r="AB71" s="212"/>
      <c r="AC71" s="212"/>
      <c r="AD71" s="212"/>
      <c r="AE71" s="212"/>
      <c r="AF71" s="212"/>
      <c r="AG71" s="212"/>
    </row>
    <row r="72" spans="1:33" ht="17.75" customHeight="1">
      <c r="A72" s="211"/>
      <c r="B72" s="456" t="s">
        <v>127</v>
      </c>
      <c r="C72" s="456"/>
      <c r="D72" s="457" t="s">
        <v>186</v>
      </c>
      <c r="E72" s="457"/>
      <c r="F72" s="458" t="s">
        <v>216</v>
      </c>
      <c r="G72" s="459"/>
      <c r="H72" s="460">
        <v>45250</v>
      </c>
      <c r="I72" s="460"/>
      <c r="J72" s="219"/>
      <c r="K72" s="219"/>
      <c r="L72" s="211"/>
      <c r="M72" s="211"/>
      <c r="N72" s="211"/>
      <c r="O72" s="248"/>
      <c r="P72" s="248"/>
      <c r="Q72" s="211"/>
      <c r="T72" s="211"/>
      <c r="U72" s="211"/>
      <c r="V72" s="211"/>
      <c r="W72" s="211"/>
      <c r="X72" s="211"/>
      <c r="Y72" s="212"/>
      <c r="Z72" s="212"/>
      <c r="AA72" s="212"/>
      <c r="AB72" s="212"/>
      <c r="AC72" s="212"/>
      <c r="AD72" s="212"/>
      <c r="AE72" s="212"/>
      <c r="AF72" s="212"/>
      <c r="AG72" s="212"/>
    </row>
    <row r="73" spans="1:33" s="261" customFormat="1">
      <c r="A73" s="260"/>
      <c r="B73" s="260"/>
      <c r="C73" s="264"/>
      <c r="D73" s="260"/>
      <c r="E73" s="260"/>
      <c r="F73" s="260"/>
      <c r="G73" s="260"/>
      <c r="H73" s="262"/>
      <c r="K73" s="263"/>
      <c r="L73" s="260"/>
      <c r="M73" s="260"/>
    </row>
    <row r="74" spans="1:33" ht="22.5" customHeight="1">
      <c r="A74" s="211"/>
      <c r="B74" s="211"/>
      <c r="C74" s="265" t="s">
        <v>131</v>
      </c>
      <c r="D74" s="266" t="s">
        <v>230</v>
      </c>
      <c r="E74" s="250" t="s">
        <v>132</v>
      </c>
      <c r="H74" s="212"/>
      <c r="I74" s="212"/>
      <c r="J74" s="212"/>
      <c r="K74" s="212"/>
      <c r="O74" s="212"/>
      <c r="P74" s="212"/>
      <c r="Q74" s="212"/>
      <c r="R74" s="212"/>
      <c r="S74" s="212"/>
      <c r="W74" s="211"/>
      <c r="X74" s="211"/>
      <c r="Y74" s="212"/>
      <c r="Z74" s="212"/>
      <c r="AA74" s="212"/>
      <c r="AB74" s="212"/>
      <c r="AC74" s="212"/>
      <c r="AD74" s="212"/>
      <c r="AE74" s="212"/>
      <c r="AF74" s="212"/>
      <c r="AG74" s="212"/>
    </row>
    <row r="75" spans="1:33" ht="15.75" customHeight="1">
      <c r="A75" s="211"/>
      <c r="B75" s="211"/>
      <c r="C75" s="523">
        <v>10</v>
      </c>
      <c r="D75" s="524">
        <v>10.023999999999999</v>
      </c>
      <c r="E75" s="525">
        <v>0.1</v>
      </c>
      <c r="H75" s="212"/>
      <c r="I75" s="212"/>
      <c r="J75" s="212"/>
      <c r="K75" s="212"/>
      <c r="O75" s="212"/>
      <c r="P75" s="212"/>
      <c r="Q75" s="212"/>
      <c r="R75" s="212"/>
      <c r="S75" s="212"/>
      <c r="W75" s="211"/>
      <c r="X75" s="211"/>
      <c r="Y75" s="212"/>
      <c r="Z75" s="212"/>
      <c r="AA75" s="212"/>
      <c r="AB75" s="212"/>
      <c r="AC75" s="212"/>
      <c r="AD75" s="212"/>
      <c r="AE75" s="212"/>
      <c r="AF75" s="212"/>
      <c r="AG75" s="212"/>
    </row>
    <row r="76" spans="1:33" ht="15.75" customHeight="1">
      <c r="A76" s="211"/>
      <c r="B76" s="211"/>
      <c r="C76" s="523">
        <v>30</v>
      </c>
      <c r="D76" s="524">
        <v>30.52</v>
      </c>
      <c r="E76" s="525">
        <v>0.09</v>
      </c>
      <c r="H76" s="212"/>
      <c r="I76" s="212"/>
      <c r="J76" s="212"/>
      <c r="K76" s="212"/>
      <c r="O76" s="212"/>
      <c r="P76" s="212"/>
      <c r="Q76" s="212"/>
      <c r="R76" s="212"/>
      <c r="S76" s="212"/>
      <c r="W76" s="211"/>
      <c r="X76" s="211"/>
      <c r="Y76" s="212"/>
      <c r="Z76" s="212"/>
      <c r="AA76" s="212"/>
      <c r="AB76" s="212"/>
      <c r="AC76" s="212"/>
      <c r="AD76" s="212"/>
      <c r="AE76" s="212"/>
      <c r="AF76" s="212"/>
      <c r="AG76" s="212"/>
    </row>
    <row r="77" spans="1:33" ht="15.75" customHeight="1">
      <c r="A77" s="211"/>
      <c r="B77" s="211"/>
      <c r="C77" s="523">
        <v>50</v>
      </c>
      <c r="D77" s="524">
        <v>50.01</v>
      </c>
      <c r="E77" s="525">
        <v>0.1</v>
      </c>
      <c r="H77" s="212"/>
      <c r="I77" s="212"/>
      <c r="J77" s="212"/>
      <c r="K77" s="212"/>
      <c r="O77" s="212"/>
      <c r="P77" s="212"/>
      <c r="Q77" s="267"/>
      <c r="R77" s="268"/>
      <c r="S77" s="269"/>
      <c r="T77" s="270"/>
      <c r="V77" s="271"/>
      <c r="W77" s="211"/>
      <c r="X77" s="211"/>
      <c r="Y77" s="212"/>
      <c r="Z77" s="212"/>
      <c r="AA77" s="212"/>
      <c r="AB77" s="212"/>
      <c r="AC77" s="212"/>
      <c r="AD77" s="212"/>
      <c r="AE77" s="212"/>
      <c r="AF77" s="212"/>
      <c r="AG77" s="212"/>
    </row>
    <row r="78" spans="1:33">
      <c r="A78" s="211"/>
      <c r="B78" s="211"/>
      <c r="C78" s="272"/>
      <c r="D78" s="272"/>
      <c r="E78" s="219"/>
      <c r="F78" s="211"/>
      <c r="G78" s="211"/>
      <c r="H78" s="211"/>
      <c r="I78" s="211"/>
      <c r="J78" s="211"/>
      <c r="K78" s="211"/>
      <c r="L78" s="211"/>
      <c r="M78" s="211"/>
      <c r="N78" s="211"/>
      <c r="O78" s="211"/>
      <c r="P78" s="211"/>
      <c r="Q78" s="219"/>
      <c r="T78" s="211"/>
      <c r="U78" s="211"/>
      <c r="V78" s="211"/>
      <c r="W78" s="211"/>
      <c r="X78" s="211"/>
      <c r="Y78" s="212"/>
      <c r="Z78" s="212"/>
      <c r="AA78" s="212"/>
      <c r="AB78" s="212"/>
      <c r="AC78" s="212"/>
      <c r="AD78" s="212"/>
      <c r="AE78" s="212"/>
      <c r="AF78" s="212"/>
      <c r="AG78" s="212"/>
    </row>
    <row r="79" spans="1:33" s="261" customFormat="1">
      <c r="A79" s="260"/>
      <c r="B79" s="245" t="s">
        <v>237</v>
      </c>
      <c r="D79" s="260"/>
      <c r="E79" s="260"/>
      <c r="F79" s="260"/>
      <c r="G79" s="260"/>
      <c r="H79" s="262"/>
      <c r="K79" s="263"/>
      <c r="L79" s="260"/>
      <c r="M79" s="260"/>
    </row>
    <row r="80" spans="1:33" ht="5.25" customHeight="1">
      <c r="A80" s="211"/>
      <c r="B80" s="249"/>
      <c r="C80" s="246"/>
      <c r="D80" s="246"/>
      <c r="E80" s="246"/>
      <c r="F80" s="246"/>
      <c r="G80" s="246"/>
      <c r="H80" s="247"/>
      <c r="I80" s="247"/>
      <c r="J80" s="219"/>
      <c r="K80" s="219"/>
      <c r="L80" s="211"/>
      <c r="M80" s="211"/>
      <c r="N80" s="211"/>
      <c r="O80" s="248"/>
      <c r="P80" s="248"/>
      <c r="Q80" s="211"/>
      <c r="T80" s="211"/>
      <c r="U80" s="211"/>
      <c r="V80" s="211"/>
      <c r="W80" s="211"/>
      <c r="X80" s="211"/>
      <c r="Y80" s="212"/>
      <c r="Z80" s="212"/>
      <c r="AA80" s="212"/>
      <c r="AB80" s="212"/>
      <c r="AC80" s="212"/>
      <c r="AD80" s="212"/>
      <c r="AE80" s="212"/>
      <c r="AF80" s="212"/>
      <c r="AG80" s="212"/>
    </row>
    <row r="81" spans="1:33" ht="17.75" customHeight="1">
      <c r="A81" s="211"/>
      <c r="B81" s="456" t="s">
        <v>94</v>
      </c>
      <c r="C81" s="456"/>
      <c r="D81" s="464" t="s">
        <v>285</v>
      </c>
      <c r="E81" s="457"/>
      <c r="F81" s="458" t="s">
        <v>95</v>
      </c>
      <c r="G81" s="459"/>
      <c r="H81" s="514" t="s">
        <v>283</v>
      </c>
      <c r="I81" s="515"/>
      <c r="J81" s="219"/>
      <c r="K81" s="219"/>
      <c r="N81" s="211"/>
      <c r="O81" s="248"/>
      <c r="P81" s="248"/>
      <c r="Q81" s="211"/>
      <c r="T81" s="211"/>
      <c r="U81" s="211"/>
      <c r="V81" s="211"/>
      <c r="W81" s="211"/>
      <c r="X81" s="211"/>
      <c r="Y81" s="212"/>
      <c r="Z81" s="212"/>
      <c r="AA81" s="212"/>
      <c r="AB81" s="212"/>
      <c r="AC81" s="212"/>
      <c r="AD81" s="212"/>
      <c r="AE81" s="212"/>
      <c r="AF81" s="212"/>
      <c r="AG81" s="212"/>
    </row>
    <row r="82" spans="1:33" ht="17.75" customHeight="1">
      <c r="A82" s="211"/>
      <c r="B82" s="456" t="s">
        <v>127</v>
      </c>
      <c r="C82" s="456"/>
      <c r="D82" s="521" t="s">
        <v>292</v>
      </c>
      <c r="E82" s="520"/>
      <c r="F82" s="458" t="s">
        <v>216</v>
      </c>
      <c r="G82" s="459"/>
      <c r="H82" s="519">
        <v>45187</v>
      </c>
      <c r="I82" s="520"/>
      <c r="J82" s="219"/>
      <c r="K82" s="219"/>
      <c r="L82" s="211"/>
      <c r="M82" s="211"/>
      <c r="N82" s="211"/>
      <c r="O82" s="248"/>
      <c r="P82" s="248"/>
      <c r="Q82" s="211"/>
      <c r="T82" s="211"/>
      <c r="U82" s="211"/>
      <c r="V82" s="211"/>
      <c r="W82" s="211"/>
      <c r="X82" s="211"/>
      <c r="Y82" s="212"/>
      <c r="Z82" s="212"/>
      <c r="AA82" s="212"/>
      <c r="AB82" s="212"/>
      <c r="AC82" s="212"/>
      <c r="AD82" s="212"/>
      <c r="AE82" s="212"/>
      <c r="AF82" s="212"/>
      <c r="AG82" s="212"/>
    </row>
    <row r="83" spans="1:33" s="261" customFormat="1">
      <c r="A83" s="260"/>
      <c r="B83" s="260"/>
      <c r="C83" s="264"/>
      <c r="D83" s="260"/>
      <c r="E83" s="260"/>
    </row>
    <row r="84" spans="1:33" ht="15.75" customHeight="1">
      <c r="A84" s="211"/>
      <c r="B84" s="211"/>
      <c r="C84" s="250" t="s">
        <v>221</v>
      </c>
      <c r="D84" s="523">
        <v>50</v>
      </c>
      <c r="E84" s="273"/>
      <c r="F84" s="261"/>
      <c r="G84" s="261"/>
      <c r="H84" s="261"/>
      <c r="I84" s="261"/>
      <c r="J84" s="261"/>
      <c r="K84" s="261"/>
      <c r="L84" s="261"/>
      <c r="M84" s="261"/>
      <c r="N84" s="261"/>
      <c r="O84" s="261"/>
      <c r="P84" s="261"/>
      <c r="Q84" s="261"/>
      <c r="T84" s="211"/>
      <c r="U84" s="211"/>
      <c r="V84" s="211"/>
      <c r="W84" s="211"/>
      <c r="X84" s="211"/>
      <c r="Y84" s="212"/>
      <c r="Z84" s="212"/>
      <c r="AA84" s="212"/>
      <c r="AB84" s="212"/>
      <c r="AC84" s="212"/>
      <c r="AD84" s="212"/>
      <c r="AE84" s="212"/>
      <c r="AF84" s="212"/>
      <c r="AG84" s="212"/>
    </row>
    <row r="85" spans="1:33" ht="15.75" customHeight="1">
      <c r="A85" s="211"/>
      <c r="B85" s="211"/>
      <c r="C85" s="274" t="s">
        <v>229</v>
      </c>
      <c r="D85" s="523">
        <v>49.994999999999997</v>
      </c>
      <c r="E85" s="273"/>
      <c r="F85" s="261"/>
      <c r="G85" s="261"/>
      <c r="H85" s="261"/>
      <c r="I85" s="261"/>
      <c r="J85" s="261"/>
      <c r="K85" s="261"/>
      <c r="L85" s="261"/>
      <c r="M85" s="261"/>
      <c r="N85" s="261"/>
      <c r="O85" s="261"/>
      <c r="P85" s="261"/>
      <c r="Q85" s="261"/>
      <c r="T85" s="211"/>
      <c r="U85" s="211"/>
      <c r="V85" s="211"/>
      <c r="W85" s="211"/>
      <c r="X85" s="211"/>
      <c r="Y85" s="212"/>
      <c r="Z85" s="212"/>
      <c r="AA85" s="212"/>
      <c r="AB85" s="212"/>
      <c r="AC85" s="212"/>
      <c r="AD85" s="212"/>
      <c r="AE85" s="212"/>
      <c r="AF85" s="212"/>
      <c r="AG85" s="212"/>
    </row>
    <row r="86" spans="1:33" ht="15.75" customHeight="1">
      <c r="A86" s="211"/>
      <c r="B86" s="211"/>
      <c r="C86" s="250" t="s">
        <v>74</v>
      </c>
      <c r="D86" s="526">
        <v>0.01</v>
      </c>
      <c r="E86" s="273"/>
      <c r="F86" s="261"/>
      <c r="G86" s="261"/>
      <c r="H86" s="261"/>
      <c r="I86" s="261"/>
      <c r="J86" s="261"/>
      <c r="K86" s="261"/>
      <c r="L86" s="261"/>
      <c r="M86" s="261"/>
      <c r="N86" s="261"/>
      <c r="O86" s="261"/>
      <c r="P86" s="261"/>
      <c r="Q86" s="261"/>
      <c r="T86" s="211"/>
      <c r="U86" s="211"/>
      <c r="V86" s="211"/>
      <c r="W86" s="211"/>
      <c r="X86" s="211"/>
      <c r="Y86" s="212"/>
      <c r="Z86" s="212"/>
      <c r="AA86" s="212"/>
      <c r="AB86" s="212"/>
      <c r="AC86" s="212"/>
      <c r="AD86" s="212"/>
      <c r="AE86" s="212"/>
      <c r="AF86" s="212"/>
      <c r="AG86" s="212"/>
    </row>
    <row r="87" spans="1:33">
      <c r="A87" s="211"/>
      <c r="B87" s="211"/>
      <c r="C87" s="272"/>
      <c r="D87" s="272"/>
      <c r="E87" s="219"/>
      <c r="F87" s="261"/>
      <c r="G87" s="261"/>
      <c r="H87" s="261"/>
      <c r="I87" s="261"/>
      <c r="J87" s="261"/>
      <c r="K87" s="261"/>
      <c r="L87" s="261"/>
      <c r="M87" s="261"/>
      <c r="N87" s="261"/>
      <c r="O87" s="261"/>
      <c r="P87" s="261"/>
      <c r="Q87" s="261"/>
      <c r="T87" s="211"/>
      <c r="U87" s="211"/>
      <c r="V87" s="211"/>
      <c r="W87" s="211"/>
      <c r="X87" s="211"/>
      <c r="Y87" s="212"/>
      <c r="Z87" s="212"/>
      <c r="AA87" s="212"/>
      <c r="AB87" s="212"/>
      <c r="AC87" s="212"/>
      <c r="AD87" s="212"/>
      <c r="AE87" s="212"/>
      <c r="AF87" s="212"/>
      <c r="AG87" s="212"/>
    </row>
    <row r="88" spans="1:33" s="261" customFormat="1">
      <c r="A88" s="260"/>
      <c r="B88" s="245" t="s">
        <v>220</v>
      </c>
      <c r="D88" s="260"/>
      <c r="E88" s="260"/>
      <c r="F88" s="260"/>
      <c r="G88" s="260"/>
      <c r="H88" s="262"/>
      <c r="K88" s="263"/>
      <c r="L88" s="260"/>
      <c r="M88" s="260"/>
    </row>
    <row r="89" spans="1:33" ht="5.25" customHeight="1">
      <c r="A89" s="211"/>
      <c r="B89" s="249"/>
      <c r="C89" s="246"/>
      <c r="D89" s="246"/>
      <c r="E89" s="246"/>
      <c r="F89" s="246"/>
      <c r="G89" s="246"/>
      <c r="H89" s="247"/>
      <c r="I89" s="247"/>
      <c r="J89" s="219"/>
      <c r="K89" s="219"/>
      <c r="L89" s="211"/>
      <c r="M89" s="211"/>
      <c r="N89" s="211"/>
      <c r="O89" s="248"/>
      <c r="P89" s="248"/>
      <c r="Q89" s="211"/>
      <c r="T89" s="211"/>
      <c r="U89" s="211"/>
      <c r="V89" s="211"/>
      <c r="W89" s="211"/>
      <c r="X89" s="211"/>
      <c r="Y89" s="212"/>
      <c r="Z89" s="212"/>
      <c r="AA89" s="212"/>
      <c r="AB89" s="212"/>
      <c r="AC89" s="212"/>
      <c r="AD89" s="212"/>
      <c r="AE89" s="212"/>
      <c r="AF89" s="212"/>
      <c r="AG89" s="212"/>
    </row>
    <row r="90" spans="1:33" ht="17.75" customHeight="1">
      <c r="A90" s="211"/>
      <c r="B90" s="456" t="s">
        <v>94</v>
      </c>
      <c r="C90" s="456"/>
      <c r="D90" s="457" t="s">
        <v>163</v>
      </c>
      <c r="E90" s="457"/>
      <c r="F90" s="458" t="s">
        <v>95</v>
      </c>
      <c r="G90" s="459"/>
      <c r="H90" s="457" t="s">
        <v>286</v>
      </c>
      <c r="I90" s="457"/>
      <c r="J90" s="219"/>
      <c r="K90" s="219"/>
      <c r="N90" s="211"/>
      <c r="O90" s="248"/>
      <c r="P90" s="248"/>
      <c r="Q90" s="211"/>
      <c r="T90" s="211"/>
      <c r="U90" s="211"/>
      <c r="V90" s="211"/>
      <c r="W90" s="211"/>
      <c r="X90" s="211"/>
      <c r="Y90" s="212"/>
      <c r="Z90" s="212"/>
      <c r="AA90" s="212"/>
      <c r="AB90" s="212"/>
      <c r="AC90" s="212"/>
      <c r="AD90" s="212"/>
      <c r="AE90" s="212"/>
      <c r="AF90" s="212"/>
      <c r="AG90" s="212"/>
    </row>
    <row r="91" spans="1:33" ht="17.75" customHeight="1">
      <c r="A91" s="211"/>
      <c r="B91" s="456" t="s">
        <v>127</v>
      </c>
      <c r="C91" s="456"/>
      <c r="D91" s="521" t="s">
        <v>293</v>
      </c>
      <c r="E91" s="520"/>
      <c r="F91" s="458" t="s">
        <v>216</v>
      </c>
      <c r="G91" s="459"/>
      <c r="H91" s="519">
        <v>45614</v>
      </c>
      <c r="I91" s="520"/>
      <c r="J91" s="219"/>
      <c r="K91" s="219"/>
      <c r="L91" s="211"/>
      <c r="M91" s="211"/>
      <c r="N91" s="211"/>
      <c r="O91" s="248"/>
      <c r="P91" s="248"/>
      <c r="Q91" s="211"/>
      <c r="T91" s="211"/>
      <c r="U91" s="211"/>
      <c r="V91" s="211"/>
      <c r="W91" s="211"/>
      <c r="X91" s="211"/>
      <c r="Y91" s="212"/>
      <c r="Z91" s="212"/>
      <c r="AA91" s="212"/>
      <c r="AB91" s="212"/>
      <c r="AC91" s="212"/>
      <c r="AD91" s="212"/>
      <c r="AE91" s="212"/>
      <c r="AF91" s="212"/>
      <c r="AG91" s="212"/>
    </row>
    <row r="92" spans="1:33" s="261" customFormat="1">
      <c r="A92" s="260"/>
      <c r="B92" s="260"/>
      <c r="C92" s="264"/>
      <c r="D92" s="260"/>
      <c r="E92" s="260"/>
      <c r="F92" s="260"/>
      <c r="G92" s="260"/>
      <c r="H92" s="262"/>
      <c r="K92" s="263"/>
      <c r="L92" s="260"/>
      <c r="M92" s="260"/>
    </row>
    <row r="93" spans="1:33" ht="22.5" customHeight="1">
      <c r="A93" s="211"/>
      <c r="B93" s="211"/>
      <c r="C93" s="265" t="s">
        <v>131</v>
      </c>
      <c r="D93" s="275" t="s">
        <v>229</v>
      </c>
      <c r="E93" s="250" t="s">
        <v>132</v>
      </c>
      <c r="H93" s="212"/>
      <c r="I93" s="212"/>
      <c r="J93" s="212"/>
      <c r="K93" s="212"/>
      <c r="O93" s="212"/>
      <c r="P93" s="212"/>
      <c r="Q93" s="212"/>
      <c r="R93" s="212"/>
      <c r="S93" s="212"/>
      <c r="W93" s="211"/>
      <c r="X93" s="211"/>
      <c r="Y93" s="212"/>
      <c r="Z93" s="212"/>
      <c r="AA93" s="212"/>
      <c r="AB93" s="212"/>
      <c r="AC93" s="212"/>
      <c r="AD93" s="212"/>
      <c r="AE93" s="212"/>
      <c r="AF93" s="212"/>
      <c r="AG93" s="212"/>
    </row>
    <row r="94" spans="1:33" ht="15.75" customHeight="1">
      <c r="A94" s="211"/>
      <c r="B94" s="211"/>
      <c r="C94" s="523">
        <v>2</v>
      </c>
      <c r="D94" s="523">
        <v>2.0059999999999998</v>
      </c>
      <c r="E94" s="527">
        <v>8.9999999999999993E-3</v>
      </c>
      <c r="H94" s="212"/>
      <c r="I94" s="212"/>
      <c r="J94" s="212"/>
      <c r="K94" s="212"/>
      <c r="O94" s="212"/>
      <c r="P94" s="212"/>
      <c r="Q94" s="212"/>
      <c r="R94" s="212"/>
      <c r="S94" s="212"/>
      <c r="W94" s="211"/>
      <c r="X94" s="211"/>
      <c r="Y94" s="212"/>
      <c r="Z94" s="212"/>
      <c r="AA94" s="212"/>
      <c r="AB94" s="212"/>
      <c r="AC94" s="212"/>
      <c r="AD94" s="212"/>
      <c r="AE94" s="212"/>
      <c r="AF94" s="212"/>
      <c r="AG94" s="212"/>
    </row>
    <row r="95" spans="1:33" ht="15.75" customHeight="1">
      <c r="A95" s="211"/>
      <c r="B95" s="211"/>
      <c r="C95" s="523">
        <v>5</v>
      </c>
      <c r="D95" s="523">
        <v>5.0069999999999997</v>
      </c>
      <c r="E95" s="523">
        <v>8.9999999999999993E-3</v>
      </c>
      <c r="H95" s="212"/>
      <c r="I95" s="212"/>
      <c r="J95" s="212"/>
      <c r="K95" s="212"/>
      <c r="O95" s="212"/>
      <c r="P95" s="212"/>
      <c r="Q95" s="212"/>
      <c r="R95" s="212"/>
      <c r="S95" s="212"/>
      <c r="W95" s="211"/>
      <c r="X95" s="211"/>
      <c r="Y95" s="212"/>
      <c r="Z95" s="212"/>
      <c r="AA95" s="212"/>
      <c r="AB95" s="212"/>
      <c r="AC95" s="212"/>
      <c r="AD95" s="212"/>
      <c r="AE95" s="212"/>
      <c r="AF95" s="212"/>
      <c r="AG95" s="212"/>
    </row>
    <row r="96" spans="1:33" ht="15.75" customHeight="1">
      <c r="A96" s="211"/>
      <c r="B96" s="211"/>
      <c r="C96" s="523">
        <v>10</v>
      </c>
      <c r="D96" s="523">
        <v>10.082000000000001</v>
      </c>
      <c r="E96" s="523">
        <v>8.9999999999999993E-3</v>
      </c>
      <c r="H96" s="212"/>
      <c r="I96" s="212"/>
      <c r="J96" s="212"/>
      <c r="K96" s="212"/>
      <c r="L96" s="276"/>
      <c r="M96" s="277"/>
      <c r="O96" s="269"/>
      <c r="P96" s="278"/>
      <c r="Q96" s="267"/>
      <c r="R96" s="268"/>
      <c r="S96" s="269"/>
      <c r="T96" s="270"/>
      <c r="V96" s="271"/>
      <c r="W96" s="211"/>
      <c r="X96" s="211"/>
      <c r="Y96" s="212"/>
      <c r="Z96" s="212"/>
      <c r="AA96" s="212"/>
      <c r="AB96" s="212"/>
      <c r="AC96" s="212"/>
      <c r="AD96" s="212"/>
      <c r="AE96" s="212"/>
      <c r="AF96" s="212"/>
      <c r="AG96" s="212"/>
    </row>
    <row r="97" spans="2:24">
      <c r="B97" s="211"/>
      <c r="C97" s="211"/>
      <c r="D97" s="211"/>
      <c r="E97" s="219"/>
      <c r="F97" s="211"/>
      <c r="G97" s="211"/>
      <c r="H97" s="219"/>
      <c r="I97" s="219"/>
      <c r="J97" s="219"/>
      <c r="K97" s="219"/>
      <c r="L97" s="211"/>
      <c r="M97" s="211"/>
      <c r="N97" s="211"/>
      <c r="O97" s="219"/>
      <c r="P97" s="219"/>
      <c r="Q97" s="219"/>
      <c r="T97" s="211"/>
      <c r="U97" s="211"/>
      <c r="V97" s="211"/>
      <c r="W97" s="211"/>
      <c r="X97" s="211"/>
    </row>
  </sheetData>
  <sheetProtection selectLockedCells="1" selectUnlockedCells="1"/>
  <protectedRanges>
    <protectedRange sqref="C27:E36 E41:E50" name="resultados_2_1_3"/>
    <protectedRange sqref="I27:I35 H27:H36 J27:J30 J41:J44" name="Rango1_2_1_2"/>
    <protectedRange sqref="J31:J36 J45:J50" name="resultados_2_1_1_2"/>
    <protectedRange sqref="M27:M34" name="Rango1_2_1_2_2"/>
  </protectedRanges>
  <mergeCells count="64">
    <mergeCell ref="A1:C4"/>
    <mergeCell ref="D1:P1"/>
    <mergeCell ref="D2:P4"/>
    <mergeCell ref="A7:C7"/>
    <mergeCell ref="D7:K7"/>
    <mergeCell ref="A5:R5"/>
    <mergeCell ref="F71:G71"/>
    <mergeCell ref="H72:I72"/>
    <mergeCell ref="B82:C82"/>
    <mergeCell ref="D82:E82"/>
    <mergeCell ref="H81:I81"/>
    <mergeCell ref="B72:C72"/>
    <mergeCell ref="D72:E72"/>
    <mergeCell ref="F72:G72"/>
    <mergeCell ref="B81:C81"/>
    <mergeCell ref="D81:E81"/>
    <mergeCell ref="F81:G81"/>
    <mergeCell ref="A8:C8"/>
    <mergeCell ref="D8:K8"/>
    <mergeCell ref="H90:I90"/>
    <mergeCell ref="F82:G82"/>
    <mergeCell ref="H82:I82"/>
    <mergeCell ref="H71:I71"/>
    <mergeCell ref="D55:E55"/>
    <mergeCell ref="H55:I55"/>
    <mergeCell ref="F55:G55"/>
    <mergeCell ref="H56:I56"/>
    <mergeCell ref="F56:G56"/>
    <mergeCell ref="A52:Q52"/>
    <mergeCell ref="C64:E64"/>
    <mergeCell ref="B55:C55"/>
    <mergeCell ref="B71:C71"/>
    <mergeCell ref="D71:E71"/>
    <mergeCell ref="B91:C91"/>
    <mergeCell ref="D91:E91"/>
    <mergeCell ref="F91:G91"/>
    <mergeCell ref="H91:I91"/>
    <mergeCell ref="B90:C90"/>
    <mergeCell ref="D90:E90"/>
    <mergeCell ref="F90:G90"/>
    <mergeCell ref="S22:X51"/>
    <mergeCell ref="A22:Q22"/>
    <mergeCell ref="B37:R37"/>
    <mergeCell ref="B23:R23"/>
    <mergeCell ref="B56:C56"/>
    <mergeCell ref="D56:E56"/>
    <mergeCell ref="A10:Z10"/>
    <mergeCell ref="B12:G12"/>
    <mergeCell ref="C13:D13"/>
    <mergeCell ref="E13:F13"/>
    <mergeCell ref="G13:K13"/>
    <mergeCell ref="S12:W19"/>
    <mergeCell ref="G20:I20"/>
    <mergeCell ref="E14:F18"/>
    <mergeCell ref="B14:B19"/>
    <mergeCell ref="C14:D18"/>
    <mergeCell ref="G14:I14"/>
    <mergeCell ref="G15:I15"/>
    <mergeCell ref="G16:I16"/>
    <mergeCell ref="G17:I17"/>
    <mergeCell ref="G18:I18"/>
    <mergeCell ref="C19:D19"/>
    <mergeCell ref="E19:F19"/>
    <mergeCell ref="G19:I19"/>
  </mergeCells>
  <pageMargins left="0.19685039370078741" right="0.19685039370078741" top="0.19685039370078741" bottom="0.19685039370078741" header="0" footer="0"/>
  <pageSetup paperSize="9" scale="47" orientation="landscape" r:id="rId1"/>
  <headerFooter alignWithMargins="0">
    <oddFooter>&amp;LGCO-LAB-FR023&amp;RVer.01
10/04/2018</oddFooter>
  </headerFooter>
  <rowBreaks count="1" manualBreakCount="1">
    <brk id="51" max="17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G263"/>
  <sheetViews>
    <sheetView showGridLines="0" view="pageBreakPreview" topLeftCell="B181" zoomScale="70" zoomScaleNormal="90" zoomScaleSheetLayoutView="70" zoomScalePageLayoutView="80" workbookViewId="0">
      <selection activeCell="E185" sqref="E185"/>
    </sheetView>
  </sheetViews>
  <sheetFormatPr baseColWidth="10" defaultColWidth="11.33203125" defaultRowHeight="13"/>
  <cols>
    <col min="1" max="1" width="1" style="148" customWidth="1"/>
    <col min="2" max="2" width="10.33203125" style="148" customWidth="1"/>
    <col min="3" max="3" width="12.6640625" style="148" customWidth="1"/>
    <col min="4" max="4" width="8" style="148" customWidth="1"/>
    <col min="5" max="5" width="14" style="148" customWidth="1"/>
    <col min="6" max="12" width="10.33203125" style="148" customWidth="1"/>
    <col min="13" max="13" width="11" style="148" customWidth="1"/>
    <col min="14" max="15" width="10.33203125" style="148" customWidth="1"/>
    <col min="16" max="16" width="12.5" style="148" customWidth="1"/>
    <col min="17" max="19" width="10.33203125" style="148" customWidth="1"/>
    <col min="20" max="20" width="12.1640625" style="148" customWidth="1"/>
    <col min="21" max="21" width="10.1640625" style="148" customWidth="1"/>
    <col min="22" max="22" width="11.5" style="148" customWidth="1"/>
    <col min="23" max="23" width="2.33203125" style="148" customWidth="1"/>
    <col min="24" max="32" width="9.5" style="148" customWidth="1"/>
    <col min="33" max="34" width="7.33203125" style="148" customWidth="1"/>
    <col min="35" max="16384" width="11.33203125" style="148"/>
  </cols>
  <sheetData>
    <row r="1" spans="1:32" s="143" customFormat="1" ht="13.5" customHeight="1">
      <c r="A1" s="400"/>
      <c r="B1" s="400"/>
      <c r="C1" s="400"/>
      <c r="D1" s="410" t="s">
        <v>1</v>
      </c>
      <c r="E1" s="411"/>
      <c r="F1" s="411"/>
      <c r="G1" s="411"/>
      <c r="H1" s="411"/>
      <c r="I1" s="411"/>
      <c r="J1" s="411"/>
      <c r="K1" s="411"/>
      <c r="L1" s="411"/>
      <c r="M1" s="411"/>
      <c r="N1" s="411"/>
      <c r="O1" s="411"/>
      <c r="P1" s="411"/>
      <c r="Q1" s="411"/>
      <c r="R1" s="411"/>
      <c r="S1" s="411"/>
      <c r="T1" s="412"/>
      <c r="U1" s="141" t="s">
        <v>2</v>
      </c>
      <c r="V1" s="142" t="s">
        <v>35</v>
      </c>
    </row>
    <row r="2" spans="1:32" s="143" customFormat="1" ht="13.5" customHeight="1">
      <c r="A2" s="400"/>
      <c r="B2" s="400"/>
      <c r="C2" s="400"/>
      <c r="D2" s="401" t="s">
        <v>34</v>
      </c>
      <c r="E2" s="402"/>
      <c r="F2" s="402"/>
      <c r="G2" s="402"/>
      <c r="H2" s="402"/>
      <c r="I2" s="402"/>
      <c r="J2" s="402"/>
      <c r="K2" s="402"/>
      <c r="L2" s="402"/>
      <c r="M2" s="402"/>
      <c r="N2" s="402"/>
      <c r="O2" s="402"/>
      <c r="P2" s="402"/>
      <c r="Q2" s="402"/>
      <c r="R2" s="402"/>
      <c r="S2" s="402"/>
      <c r="T2" s="403"/>
      <c r="U2" s="141" t="s">
        <v>3</v>
      </c>
      <c r="V2" s="144" t="str">
        <f>Datos!R2</f>
        <v>05</v>
      </c>
    </row>
    <row r="3" spans="1:32" s="143" customFormat="1" ht="13.5" customHeight="1">
      <c r="A3" s="400"/>
      <c r="B3" s="400"/>
      <c r="C3" s="400"/>
      <c r="D3" s="404"/>
      <c r="E3" s="405"/>
      <c r="F3" s="405"/>
      <c r="G3" s="405"/>
      <c r="H3" s="405"/>
      <c r="I3" s="405"/>
      <c r="J3" s="405"/>
      <c r="K3" s="405"/>
      <c r="L3" s="405"/>
      <c r="M3" s="405"/>
      <c r="N3" s="405"/>
      <c r="O3" s="405"/>
      <c r="P3" s="405"/>
      <c r="Q3" s="405"/>
      <c r="R3" s="405"/>
      <c r="S3" s="405"/>
      <c r="T3" s="406"/>
      <c r="U3" s="141" t="s">
        <v>4</v>
      </c>
      <c r="V3" s="145" t="s">
        <v>252</v>
      </c>
    </row>
    <row r="4" spans="1:32" s="143" customFormat="1" ht="13.5" customHeight="1">
      <c r="A4" s="400"/>
      <c r="B4" s="400"/>
      <c r="C4" s="400"/>
      <c r="D4" s="407"/>
      <c r="E4" s="408"/>
      <c r="F4" s="408"/>
      <c r="G4" s="408"/>
      <c r="H4" s="408"/>
      <c r="I4" s="408"/>
      <c r="J4" s="408"/>
      <c r="K4" s="408"/>
      <c r="L4" s="408"/>
      <c r="M4" s="408"/>
      <c r="N4" s="408"/>
      <c r="O4" s="408"/>
      <c r="P4" s="408"/>
      <c r="Q4" s="408"/>
      <c r="R4" s="408"/>
      <c r="S4" s="408"/>
      <c r="T4" s="409"/>
      <c r="U4" s="141" t="s">
        <v>5</v>
      </c>
      <c r="V4" s="146">
        <f>Datos!R4</f>
        <v>46147</v>
      </c>
    </row>
    <row r="5" spans="1:32" ht="15" customHeight="1">
      <c r="A5" s="147"/>
      <c r="B5" s="417" t="s">
        <v>255</v>
      </c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8"/>
      <c r="N5" s="418"/>
      <c r="O5" s="418"/>
      <c r="P5" s="418"/>
      <c r="Q5" s="418"/>
      <c r="R5" s="418"/>
      <c r="S5" s="418"/>
      <c r="T5" s="418"/>
      <c r="U5" s="418"/>
      <c r="V5" s="418"/>
    </row>
    <row r="6" spans="1:32" s="151" customFormat="1" ht="19.25" customHeight="1">
      <c r="A6" s="149"/>
      <c r="B6" s="339" t="s">
        <v>6</v>
      </c>
      <c r="C6" s="340"/>
      <c r="D6" s="340"/>
      <c r="E6" s="341"/>
      <c r="F6" s="414" t="s">
        <v>59</v>
      </c>
      <c r="G6" s="415"/>
      <c r="H6" s="415"/>
      <c r="I6" s="415"/>
      <c r="J6" s="415"/>
      <c r="K6" s="416"/>
      <c r="L6" s="380" t="s">
        <v>162</v>
      </c>
      <c r="M6" s="381"/>
      <c r="N6" s="382"/>
      <c r="O6" s="413" t="str">
        <f>Datos!D55</f>
        <v>Balanza</v>
      </c>
      <c r="P6" s="384"/>
      <c r="Q6" s="385"/>
      <c r="R6" s="380" t="s">
        <v>2</v>
      </c>
      <c r="S6" s="381"/>
      <c r="T6" s="382"/>
      <c r="U6" s="350" t="str">
        <f>Datos!H55</f>
        <v xml:space="preserve">EQ-068-ILL	</v>
      </c>
      <c r="V6" s="350"/>
    </row>
    <row r="7" spans="1:32" s="153" customFormat="1" ht="19.25" customHeight="1">
      <c r="A7" s="152"/>
      <c r="B7" s="339" t="s">
        <v>7</v>
      </c>
      <c r="C7" s="340"/>
      <c r="D7" s="340"/>
      <c r="E7" s="341"/>
      <c r="F7" s="414" t="s">
        <v>275</v>
      </c>
      <c r="G7" s="415"/>
      <c r="H7" s="415"/>
      <c r="I7" s="415"/>
      <c r="J7" s="415"/>
      <c r="K7" s="416"/>
      <c r="L7" s="380" t="s">
        <v>162</v>
      </c>
      <c r="M7" s="381"/>
      <c r="N7" s="382"/>
      <c r="O7" s="413" t="str">
        <f>Datos!D71</f>
        <v>Probeta</v>
      </c>
      <c r="P7" s="384"/>
      <c r="Q7" s="385"/>
      <c r="R7" s="380" t="s">
        <v>2</v>
      </c>
      <c r="S7" s="381"/>
      <c r="T7" s="382"/>
      <c r="U7" s="350" t="str">
        <f>Datos!H71</f>
        <v xml:space="preserve">MV-130-ILL	</v>
      </c>
      <c r="V7" s="350"/>
      <c r="X7" s="352" t="str">
        <f>Datos!D55</f>
        <v>Balanza</v>
      </c>
      <c r="Y7" s="352"/>
      <c r="Z7" s="371" t="str">
        <f>Datos!H55</f>
        <v xml:space="preserve">EQ-068-ILL	</v>
      </c>
      <c r="AA7" s="372"/>
      <c r="AB7" s="373"/>
      <c r="AC7" s="315"/>
      <c r="AD7" s="315"/>
      <c r="AE7" s="315"/>
      <c r="AF7" s="315"/>
    </row>
    <row r="8" spans="1:32" s="153" customFormat="1" ht="19.25" customHeight="1">
      <c r="A8" s="152"/>
      <c r="B8" s="349" t="s">
        <v>17</v>
      </c>
      <c r="C8" s="349"/>
      <c r="D8" s="349"/>
      <c r="E8" s="349"/>
      <c r="F8" s="419" t="s">
        <v>83</v>
      </c>
      <c r="G8" s="419"/>
      <c r="H8" s="419"/>
      <c r="I8" s="419"/>
      <c r="J8" s="419"/>
      <c r="K8" s="419"/>
      <c r="L8" s="380" t="s">
        <v>162</v>
      </c>
      <c r="M8" s="381"/>
      <c r="N8" s="382"/>
      <c r="O8" s="383" t="str">
        <f>Datos!D81</f>
        <v>Matraz volumétrico</v>
      </c>
      <c r="P8" s="384"/>
      <c r="Q8" s="385"/>
      <c r="R8" s="380" t="s">
        <v>2</v>
      </c>
      <c r="S8" s="381"/>
      <c r="T8" s="382"/>
      <c r="U8" s="350" t="str">
        <f>Datos!H81</f>
        <v xml:space="preserve">EQ-068-ILL	</v>
      </c>
      <c r="V8" s="350"/>
      <c r="X8" s="352" t="s">
        <v>164</v>
      </c>
      <c r="Y8" s="352"/>
      <c r="Z8" s="371" t="str">
        <f>Datos!D56</f>
        <v>N° BD25-C-0708</v>
      </c>
      <c r="AA8" s="372"/>
      <c r="AB8" s="373"/>
      <c r="AC8" s="315"/>
      <c r="AD8" s="315"/>
      <c r="AE8" s="315"/>
      <c r="AF8" s="315"/>
    </row>
    <row r="9" spans="1:32" s="153" customFormat="1" ht="19.25" customHeight="1">
      <c r="A9" s="152"/>
      <c r="B9" s="349"/>
      <c r="C9" s="349"/>
      <c r="D9" s="349"/>
      <c r="E9" s="349"/>
      <c r="F9" s="419"/>
      <c r="G9" s="419"/>
      <c r="H9" s="419"/>
      <c r="I9" s="419"/>
      <c r="J9" s="419"/>
      <c r="K9" s="419"/>
      <c r="L9" s="380" t="s">
        <v>162</v>
      </c>
      <c r="M9" s="381"/>
      <c r="N9" s="382"/>
      <c r="O9" s="413" t="str">
        <f>Datos!D90</f>
        <v>Micropipeta</v>
      </c>
      <c r="P9" s="384"/>
      <c r="Q9" s="385"/>
      <c r="R9" s="380" t="s">
        <v>2</v>
      </c>
      <c r="S9" s="381"/>
      <c r="T9" s="382"/>
      <c r="U9" s="350" t="str">
        <f>Datos!H90</f>
        <v xml:space="preserve">EQ-096-ILL	</v>
      </c>
      <c r="V9" s="350"/>
      <c r="X9" s="354" t="s">
        <v>165</v>
      </c>
      <c r="Y9" s="355"/>
      <c r="Z9" s="374">
        <f>Datos!H56</f>
        <v>45902</v>
      </c>
      <c r="AA9" s="375"/>
      <c r="AB9" s="376"/>
      <c r="AC9" s="315"/>
      <c r="AD9" s="315"/>
      <c r="AE9" s="315"/>
      <c r="AF9" s="315"/>
    </row>
    <row r="10" spans="1:32" s="153" customFormat="1" ht="19.25" customHeight="1">
      <c r="A10" s="152"/>
      <c r="B10" s="349" t="s">
        <v>244</v>
      </c>
      <c r="C10" s="349"/>
      <c r="D10" s="349"/>
      <c r="E10" s="349"/>
      <c r="F10" s="397" t="s">
        <v>288</v>
      </c>
      <c r="G10" s="397"/>
      <c r="H10" s="397"/>
      <c r="I10" s="397"/>
      <c r="J10" s="397"/>
      <c r="K10" s="397"/>
      <c r="L10" s="380" t="s">
        <v>162</v>
      </c>
      <c r="M10" s="381"/>
      <c r="N10" s="382"/>
      <c r="O10" s="383" t="s">
        <v>231</v>
      </c>
      <c r="P10" s="384"/>
      <c r="Q10" s="385"/>
      <c r="R10" s="380" t="s">
        <v>2</v>
      </c>
      <c r="S10" s="381"/>
      <c r="T10" s="382"/>
      <c r="U10" s="350" t="s">
        <v>287</v>
      </c>
      <c r="V10" s="350"/>
      <c r="X10" s="317" t="s">
        <v>19</v>
      </c>
      <c r="Y10" s="318" t="s">
        <v>12</v>
      </c>
      <c r="Z10" s="319" t="s">
        <v>13</v>
      </c>
      <c r="AA10" s="320">
        <f>Datos!E60</f>
        <v>6.7999999999999995E-7</v>
      </c>
      <c r="AB10" s="316" t="s">
        <v>12</v>
      </c>
      <c r="AC10" s="315"/>
      <c r="AD10" s="315"/>
      <c r="AE10" s="315"/>
      <c r="AF10" s="315"/>
    </row>
    <row r="11" spans="1:32" s="153" customFormat="1" ht="19.25" customHeight="1" thickBot="1">
      <c r="A11" s="152"/>
      <c r="L11" s="154"/>
      <c r="M11" s="154"/>
      <c r="N11" s="154"/>
      <c r="O11" s="155"/>
      <c r="P11" s="156"/>
      <c r="Q11" s="156"/>
      <c r="R11" s="154"/>
      <c r="S11" s="154"/>
      <c r="T11" s="154"/>
      <c r="U11" s="156"/>
      <c r="V11" s="156"/>
      <c r="X11" s="321"/>
      <c r="Y11" s="322"/>
      <c r="Z11" s="323"/>
      <c r="AA11" s="324"/>
      <c r="AB11" s="315"/>
      <c r="AC11" s="315"/>
      <c r="AD11" s="315"/>
      <c r="AE11" s="315"/>
      <c r="AF11" s="315"/>
    </row>
    <row r="12" spans="1:32" s="153" customFormat="1" ht="21" customHeight="1" thickBot="1">
      <c r="A12" s="152"/>
      <c r="B12" s="432" t="s">
        <v>281</v>
      </c>
      <c r="C12" s="433"/>
      <c r="D12" s="433"/>
      <c r="E12" s="433"/>
      <c r="F12" s="392" t="s">
        <v>16</v>
      </c>
      <c r="G12" s="392"/>
      <c r="H12" s="392"/>
      <c r="I12" s="393"/>
      <c r="J12" s="394" t="s">
        <v>288</v>
      </c>
      <c r="K12" s="395"/>
      <c r="L12" s="395"/>
      <c r="M12" s="395"/>
      <c r="N12" s="395"/>
      <c r="O12" s="396"/>
      <c r="P12" s="391" t="s">
        <v>277</v>
      </c>
      <c r="Q12" s="392"/>
      <c r="R12" s="392"/>
      <c r="S12" s="393"/>
      <c r="T12" s="388">
        <v>46101</v>
      </c>
      <c r="U12" s="389"/>
      <c r="V12" s="390"/>
      <c r="X12" s="315"/>
      <c r="Y12" s="315"/>
      <c r="Z12" s="315"/>
      <c r="AA12" s="315"/>
      <c r="AB12" s="315"/>
      <c r="AC12" s="315"/>
      <c r="AD12" s="315"/>
      <c r="AE12" s="315"/>
      <c r="AF12" s="315"/>
    </row>
    <row r="13" spans="1:32" s="153" customFormat="1" ht="24.75" customHeight="1" thickBot="1">
      <c r="A13" s="152"/>
      <c r="B13" s="432" t="s">
        <v>278</v>
      </c>
      <c r="C13" s="433"/>
      <c r="D13" s="433"/>
      <c r="E13" s="433"/>
      <c r="F13" s="392" t="s">
        <v>16</v>
      </c>
      <c r="G13" s="392"/>
      <c r="H13" s="392"/>
      <c r="I13" s="393"/>
      <c r="J13" s="394" t="s">
        <v>288</v>
      </c>
      <c r="K13" s="395"/>
      <c r="L13" s="395"/>
      <c r="M13" s="395"/>
      <c r="N13" s="395"/>
      <c r="O13" s="396"/>
      <c r="P13" s="391" t="s">
        <v>277</v>
      </c>
      <c r="Q13" s="392"/>
      <c r="R13" s="392"/>
      <c r="S13" s="393"/>
      <c r="T13" s="388">
        <v>46147</v>
      </c>
      <c r="U13" s="389"/>
      <c r="V13" s="390"/>
      <c r="X13" s="315"/>
      <c r="Y13" s="315"/>
      <c r="Z13" s="315"/>
      <c r="AA13" s="315"/>
      <c r="AB13" s="315"/>
      <c r="AC13" s="315"/>
      <c r="AD13" s="315"/>
      <c r="AE13" s="315"/>
      <c r="AF13" s="315"/>
    </row>
    <row r="14" spans="1:32" s="153" customFormat="1" ht="19.25" customHeight="1">
      <c r="A14" s="152"/>
      <c r="B14" s="346" t="s">
        <v>37</v>
      </c>
      <c r="C14" s="342" t="s">
        <v>38</v>
      </c>
      <c r="D14" s="343"/>
      <c r="E14" s="344"/>
      <c r="F14" s="437" t="s">
        <v>44</v>
      </c>
      <c r="G14" s="437"/>
      <c r="H14" s="437" t="s">
        <v>45</v>
      </c>
      <c r="I14" s="437"/>
      <c r="J14" s="159"/>
      <c r="K14" s="154"/>
      <c r="L14" s="313"/>
      <c r="M14" s="154"/>
      <c r="N14" s="314"/>
      <c r="O14" s="165"/>
      <c r="P14" s="434" t="s">
        <v>159</v>
      </c>
      <c r="Q14" s="435"/>
      <c r="R14" s="435"/>
      <c r="S14" s="435"/>
      <c r="T14" s="435"/>
      <c r="U14" s="435"/>
      <c r="V14" s="436"/>
      <c r="X14" s="352" t="str">
        <f>Datos!D71</f>
        <v>Probeta</v>
      </c>
      <c r="Y14" s="352"/>
      <c r="Z14" s="351" t="str">
        <f>Datos!H71</f>
        <v xml:space="preserve">MV-130-ILL	</v>
      </c>
      <c r="AA14" s="351"/>
      <c r="AB14" s="315"/>
      <c r="AC14" s="352" t="str">
        <f>Datos!D90</f>
        <v>Micropipeta</v>
      </c>
      <c r="AD14" s="352"/>
      <c r="AE14" s="351" t="str">
        <f>Datos!H90</f>
        <v xml:space="preserve">EQ-096-ILL	</v>
      </c>
      <c r="AF14" s="351"/>
    </row>
    <row r="15" spans="1:32" s="153" customFormat="1" ht="19.25" customHeight="1">
      <c r="A15" s="152"/>
      <c r="B15" s="346"/>
      <c r="C15" s="334" t="s">
        <v>39</v>
      </c>
      <c r="D15" s="335"/>
      <c r="E15" s="336"/>
      <c r="F15" s="330">
        <v>0</v>
      </c>
      <c r="G15" s="331"/>
      <c r="H15" s="438">
        <v>0</v>
      </c>
      <c r="I15" s="439"/>
      <c r="J15" s="159"/>
      <c r="K15" s="154"/>
      <c r="L15" s="160"/>
      <c r="M15" s="160"/>
      <c r="N15" s="160" t="s">
        <v>14</v>
      </c>
      <c r="O15" s="161">
        <f>SLOPE(H15:I21,F15:G21)</f>
        <v>0.72170648464163822</v>
      </c>
      <c r="P15" s="360" t="s">
        <v>168</v>
      </c>
      <c r="Q15" s="386" t="s">
        <v>171</v>
      </c>
      <c r="R15" s="387"/>
      <c r="S15" s="162" t="s">
        <v>169</v>
      </c>
      <c r="T15" s="297">
        <f>Datos!J15</f>
        <v>10</v>
      </c>
      <c r="U15" s="156" t="s">
        <v>170</v>
      </c>
      <c r="V15" s="163"/>
      <c r="X15" s="352" t="s">
        <v>164</v>
      </c>
      <c r="Y15" s="352"/>
      <c r="Z15" s="351" t="str">
        <f>Datos!D72</f>
        <v xml:space="preserve"> E2039-3315A-2023 - 200</v>
      </c>
      <c r="AA15" s="351"/>
      <c r="AB15" s="315"/>
      <c r="AC15" s="352" t="s">
        <v>164</v>
      </c>
      <c r="AD15" s="352"/>
      <c r="AE15" s="353" t="str">
        <f>Datos!D91</f>
        <v>MV24-C-2803</v>
      </c>
      <c r="AF15" s="353"/>
    </row>
    <row r="16" spans="1:32" s="153" customFormat="1" ht="19.25" customHeight="1">
      <c r="A16" s="152"/>
      <c r="B16" s="346"/>
      <c r="C16" s="334" t="s">
        <v>40</v>
      </c>
      <c r="D16" s="335"/>
      <c r="E16" s="336"/>
      <c r="F16" s="330">
        <v>0.1</v>
      </c>
      <c r="G16" s="331"/>
      <c r="H16" s="328">
        <v>7.0999999999999994E-2</v>
      </c>
      <c r="I16" s="329"/>
      <c r="J16" s="159"/>
      <c r="K16" s="154"/>
      <c r="L16" s="160"/>
      <c r="M16" s="160"/>
      <c r="N16" s="160" t="s">
        <v>15</v>
      </c>
      <c r="O16" s="161">
        <f>INTERCEPT(H15:I21,F15:G21)</f>
        <v>2.8156996587030414E-3</v>
      </c>
      <c r="P16" s="361"/>
      <c r="Q16" s="358" t="s">
        <v>172</v>
      </c>
      <c r="R16" s="359"/>
      <c r="S16" s="162" t="s">
        <v>169</v>
      </c>
      <c r="T16" s="150">
        <f>Datos!J19</f>
        <v>10</v>
      </c>
      <c r="U16" s="156" t="s">
        <v>170</v>
      </c>
      <c r="V16" s="163"/>
      <c r="X16" s="354" t="s">
        <v>165</v>
      </c>
      <c r="Y16" s="355"/>
      <c r="Z16" s="353">
        <f>Datos!H72</f>
        <v>45250</v>
      </c>
      <c r="AA16" s="353"/>
      <c r="AB16" s="315"/>
      <c r="AC16" s="354" t="s">
        <v>165</v>
      </c>
      <c r="AD16" s="355"/>
      <c r="AE16" s="353">
        <f>Datos!H91</f>
        <v>45614</v>
      </c>
      <c r="AF16" s="353"/>
    </row>
    <row r="17" spans="1:33" s="153" customFormat="1" ht="19.25" customHeight="1">
      <c r="A17" s="152"/>
      <c r="B17" s="346"/>
      <c r="C17" s="334" t="s">
        <v>41</v>
      </c>
      <c r="D17" s="335"/>
      <c r="E17" s="336"/>
      <c r="F17" s="330">
        <v>0.2</v>
      </c>
      <c r="G17" s="331"/>
      <c r="H17" s="332">
        <v>0.14599999999999999</v>
      </c>
      <c r="I17" s="333"/>
      <c r="J17" s="159"/>
      <c r="K17" s="154"/>
      <c r="L17" s="160"/>
      <c r="M17" s="160"/>
      <c r="N17" s="164"/>
      <c r="O17" s="165"/>
      <c r="P17" s="361"/>
      <c r="Q17" s="358" t="s">
        <v>173</v>
      </c>
      <c r="R17" s="359"/>
      <c r="S17" s="156" t="s">
        <v>166</v>
      </c>
      <c r="T17" s="303">
        <f>Datos!J16+(Datos!J17*Datos!J18)</f>
        <v>2.2999999999999998</v>
      </c>
      <c r="U17" s="156" t="s">
        <v>167</v>
      </c>
      <c r="V17" s="303">
        <f>Datos!J16-(Datos!J17*Datos!J18)</f>
        <v>1.7</v>
      </c>
      <c r="X17" s="325" t="s">
        <v>178</v>
      </c>
      <c r="Y17" s="326" t="str">
        <f>Datos!D74</f>
        <v>Volumen corregido</v>
      </c>
      <c r="Z17" s="325" t="s">
        <v>180</v>
      </c>
      <c r="AA17" s="325" t="s">
        <v>179</v>
      </c>
      <c r="AB17" s="315"/>
      <c r="AC17" s="325" t="s">
        <v>178</v>
      </c>
      <c r="AD17" s="325" t="str">
        <f>Datos!D93</f>
        <v>Valor corregido</v>
      </c>
      <c r="AE17" s="325" t="s">
        <v>180</v>
      </c>
      <c r="AF17" s="325" t="s">
        <v>179</v>
      </c>
    </row>
    <row r="18" spans="1:33" s="153" customFormat="1" ht="19.25" customHeight="1">
      <c r="A18" s="152"/>
      <c r="B18" s="346"/>
      <c r="C18" s="334" t="s">
        <v>42</v>
      </c>
      <c r="D18" s="335"/>
      <c r="E18" s="336"/>
      <c r="F18" s="330">
        <v>0.4</v>
      </c>
      <c r="G18" s="331"/>
      <c r="H18" s="332">
        <v>0.30399999999999999</v>
      </c>
      <c r="I18" s="333"/>
      <c r="J18" s="159"/>
      <c r="K18" s="154"/>
      <c r="L18" s="160"/>
      <c r="M18" s="160"/>
      <c r="N18" s="164"/>
      <c r="O18" s="163"/>
      <c r="P18" s="362" t="s">
        <v>174</v>
      </c>
      <c r="Q18" s="362"/>
      <c r="R18" s="363"/>
      <c r="S18" s="362" t="s">
        <v>175</v>
      </c>
      <c r="T18" s="362"/>
      <c r="U18" s="362"/>
      <c r="V18" s="362"/>
      <c r="X18" s="325">
        <f>Datos!C75</f>
        <v>10</v>
      </c>
      <c r="Y18" s="325">
        <f>Datos!D75</f>
        <v>10.023999999999999</v>
      </c>
      <c r="Z18" s="325">
        <f>SLOPE(Y18:Y19,X18:X19)</f>
        <v>1.0247999999999999</v>
      </c>
      <c r="AA18" s="325">
        <f>INTERCEPT(Y18:Y19,X18:X19)</f>
        <v>-0.2240000000000002</v>
      </c>
      <c r="AB18" s="315"/>
      <c r="AC18" s="325">
        <f>Datos!C94</f>
        <v>2</v>
      </c>
      <c r="AD18" s="325">
        <f>Datos!D94</f>
        <v>2.0059999999999998</v>
      </c>
      <c r="AE18" s="325">
        <f>SLOPE(AD18:AD19,AC18:AC19)</f>
        <v>1.0003333333333333</v>
      </c>
      <c r="AF18" s="325">
        <f>INTERCEPT(AD18:AD19,AC18:AC19)</f>
        <v>5.3333333333336341E-3</v>
      </c>
    </row>
    <row r="19" spans="1:33" s="153" customFormat="1" ht="19.25" customHeight="1">
      <c r="A19" s="152"/>
      <c r="B19" s="346"/>
      <c r="C19" s="334" t="s">
        <v>43</v>
      </c>
      <c r="D19" s="335"/>
      <c r="E19" s="336"/>
      <c r="F19" s="330">
        <v>0.6</v>
      </c>
      <c r="G19" s="331"/>
      <c r="H19" s="332">
        <v>0.442</v>
      </c>
      <c r="I19" s="333"/>
      <c r="J19" s="159"/>
      <c r="K19" s="154"/>
      <c r="L19" s="160"/>
      <c r="M19" s="160"/>
      <c r="N19" s="164"/>
      <c r="O19" s="163"/>
      <c r="P19" s="362" t="s">
        <v>176</v>
      </c>
      <c r="Q19" s="377">
        <f>VALUE(FIXED(Datos!J20,Datos!N20))</f>
        <v>0.3</v>
      </c>
      <c r="R19" s="364" t="s">
        <v>177</v>
      </c>
      <c r="S19" s="167"/>
      <c r="V19" s="163"/>
      <c r="X19" s="325">
        <f>Datos!C76</f>
        <v>30</v>
      </c>
      <c r="Y19" s="325">
        <f>Datos!D76</f>
        <v>30.52</v>
      </c>
      <c r="Z19" s="325">
        <f>SLOPE(Y19:Y20,X19:X20)</f>
        <v>0.97449999999999992</v>
      </c>
      <c r="AA19" s="325">
        <f>INTERCEPT(Y19:Y20,X19:X20)</f>
        <v>1.2850000000000037</v>
      </c>
      <c r="AB19" s="315"/>
      <c r="AC19" s="325">
        <f>Datos!C95</f>
        <v>5</v>
      </c>
      <c r="AD19" s="325">
        <f>Datos!D95</f>
        <v>5.0069999999999997</v>
      </c>
      <c r="AE19" s="325">
        <f>SLOPE(AD19:AD20,AC19:AC20)</f>
        <v>1.0150000000000003</v>
      </c>
      <c r="AF19" s="325">
        <f>INTERCEPT(AD19:AD20,AC19:AC20)</f>
        <v>-6.8000000000002281E-2</v>
      </c>
    </row>
    <row r="20" spans="1:33" s="153" customFormat="1" ht="19.25" customHeight="1">
      <c r="A20" s="152"/>
      <c r="B20" s="346"/>
      <c r="C20" s="334" t="s">
        <v>60</v>
      </c>
      <c r="D20" s="335"/>
      <c r="E20" s="336"/>
      <c r="F20" s="330">
        <v>0.8</v>
      </c>
      <c r="G20" s="331"/>
      <c r="H20" s="332">
        <v>0.56699999999999995</v>
      </c>
      <c r="I20" s="333"/>
      <c r="J20" s="159"/>
      <c r="K20" s="154"/>
      <c r="L20" s="160"/>
      <c r="M20" s="160"/>
      <c r="N20" s="164"/>
      <c r="O20" s="163"/>
      <c r="P20" s="362"/>
      <c r="Q20" s="378"/>
      <c r="R20" s="364"/>
      <c r="S20" s="167"/>
      <c r="V20" s="163"/>
      <c r="X20" s="325">
        <f>Datos!C77</f>
        <v>50</v>
      </c>
      <c r="Y20" s="325">
        <f>Datos!D77</f>
        <v>50.01</v>
      </c>
      <c r="Z20" s="315"/>
      <c r="AA20" s="315"/>
      <c r="AB20" s="315"/>
      <c r="AC20" s="325">
        <f>Datos!C96</f>
        <v>10</v>
      </c>
      <c r="AD20" s="325">
        <f>Datos!D96</f>
        <v>10.082000000000001</v>
      </c>
      <c r="AE20" s="315"/>
      <c r="AF20" s="315"/>
    </row>
    <row r="21" spans="1:33" s="153" customFormat="1" ht="19.25" customHeight="1">
      <c r="A21" s="152"/>
      <c r="B21" s="347"/>
      <c r="C21" s="334" t="s">
        <v>239</v>
      </c>
      <c r="D21" s="335"/>
      <c r="E21" s="336"/>
      <c r="F21" s="330">
        <v>1</v>
      </c>
      <c r="G21" s="331"/>
      <c r="H21" s="398">
        <v>0.72699999999999998</v>
      </c>
      <c r="I21" s="399"/>
      <c r="J21" s="168"/>
      <c r="K21" s="169"/>
      <c r="L21" s="170"/>
      <c r="M21" s="170"/>
      <c r="N21" s="171"/>
      <c r="O21" s="172"/>
      <c r="P21" s="362"/>
      <c r="Q21" s="379"/>
      <c r="R21" s="364"/>
      <c r="S21" s="173"/>
      <c r="T21" s="174"/>
      <c r="U21" s="174"/>
      <c r="V21" s="175"/>
      <c r="X21" s="315"/>
      <c r="Y21" s="315"/>
      <c r="Z21" s="315"/>
      <c r="AA21" s="315"/>
      <c r="AB21" s="315"/>
      <c r="AC21" s="315"/>
      <c r="AD21" s="315"/>
      <c r="AE21" s="315"/>
      <c r="AF21" s="315"/>
    </row>
    <row r="22" spans="1:33" s="153" customFormat="1" ht="8" customHeight="1">
      <c r="A22" s="152"/>
      <c r="B22" s="157"/>
      <c r="C22" s="157"/>
      <c r="D22" s="157"/>
      <c r="E22" s="157"/>
      <c r="F22" s="152"/>
      <c r="G22" s="152"/>
      <c r="H22" s="152"/>
      <c r="I22" s="152"/>
      <c r="J22" s="152"/>
      <c r="K22" s="157"/>
      <c r="L22" s="157"/>
      <c r="M22" s="158"/>
      <c r="N22" s="164"/>
      <c r="O22" s="157"/>
      <c r="P22" s="157"/>
      <c r="Q22" s="157"/>
      <c r="X22" s="315"/>
      <c r="Y22" s="315"/>
      <c r="Z22" s="315"/>
      <c r="AA22" s="315"/>
      <c r="AB22" s="315"/>
      <c r="AC22" s="315"/>
      <c r="AD22" s="315"/>
      <c r="AE22" s="315"/>
      <c r="AF22" s="315"/>
    </row>
    <row r="23" spans="1:33" s="153" customFormat="1" ht="19.25" customHeight="1">
      <c r="A23" s="152"/>
      <c r="B23" s="345" t="s">
        <v>8</v>
      </c>
      <c r="C23" s="345"/>
      <c r="D23" s="176"/>
      <c r="E23" s="176"/>
      <c r="F23" s="176"/>
      <c r="G23" s="176"/>
      <c r="H23" s="176"/>
      <c r="I23" s="176"/>
      <c r="J23" s="345" t="s">
        <v>124</v>
      </c>
      <c r="K23" s="345"/>
      <c r="N23" s="177"/>
      <c r="O23" s="362" t="s">
        <v>232</v>
      </c>
      <c r="P23" s="362"/>
      <c r="Q23" s="362"/>
      <c r="R23" s="362"/>
      <c r="S23" s="362"/>
      <c r="T23" s="362"/>
      <c r="U23" s="362"/>
      <c r="V23" s="362"/>
      <c r="X23" s="356" t="str">
        <f>Datos!D81</f>
        <v>Matraz volumétrico</v>
      </c>
      <c r="Y23" s="352"/>
      <c r="Z23" s="351" t="str">
        <f>Datos!H81</f>
        <v xml:space="preserve">EQ-068-ILL	</v>
      </c>
      <c r="AA23" s="351"/>
      <c r="AB23" s="315"/>
      <c r="AC23" s="315"/>
      <c r="AD23" s="315"/>
      <c r="AE23" s="315"/>
      <c r="AF23" s="315"/>
    </row>
    <row r="24" spans="1:33" s="153" customFormat="1" ht="19.25" customHeight="1">
      <c r="A24" s="152"/>
      <c r="B24" s="348" t="s">
        <v>49</v>
      </c>
      <c r="C24" s="348"/>
      <c r="D24" s="178" t="s">
        <v>50</v>
      </c>
      <c r="E24" s="178"/>
      <c r="F24" s="178"/>
      <c r="G24" s="178"/>
      <c r="H24" s="178"/>
      <c r="I24" s="178"/>
      <c r="J24" s="178"/>
      <c r="K24" s="160" t="s">
        <v>39</v>
      </c>
      <c r="L24" s="179" t="s">
        <v>120</v>
      </c>
      <c r="O24" s="362"/>
      <c r="P24" s="362"/>
      <c r="Q24" s="362"/>
      <c r="R24" s="362"/>
      <c r="S24" s="362"/>
      <c r="T24" s="362"/>
      <c r="U24" s="362"/>
      <c r="V24" s="362"/>
      <c r="X24" s="352" t="s">
        <v>164</v>
      </c>
      <c r="Y24" s="352"/>
      <c r="Z24" s="351" t="str">
        <f>Datos!D82</f>
        <v>E2039-3315A-2023 -99</v>
      </c>
      <c r="AA24" s="351"/>
      <c r="AB24" s="327"/>
      <c r="AC24" s="327"/>
      <c r="AD24" s="327"/>
      <c r="AE24" s="327"/>
      <c r="AF24" s="327"/>
      <c r="AG24" s="151"/>
    </row>
    <row r="25" spans="1:33" s="151" customFormat="1" ht="19.25" customHeight="1">
      <c r="A25" s="152"/>
      <c r="B25" s="348" t="s">
        <v>46</v>
      </c>
      <c r="C25" s="348"/>
      <c r="D25" s="178" t="s">
        <v>51</v>
      </c>
      <c r="E25" s="178"/>
      <c r="F25" s="178"/>
      <c r="G25" s="178"/>
      <c r="H25" s="178"/>
      <c r="I25" s="178"/>
      <c r="J25" s="178"/>
      <c r="K25" s="160" t="s">
        <v>117</v>
      </c>
      <c r="L25" s="179" t="s">
        <v>125</v>
      </c>
      <c r="O25" s="357" t="s">
        <v>233</v>
      </c>
      <c r="P25" s="357"/>
      <c r="Q25" s="357"/>
      <c r="R25" s="304" t="s">
        <v>238</v>
      </c>
      <c r="S25" s="357" t="s">
        <v>234</v>
      </c>
      <c r="T25" s="357"/>
      <c r="U25" s="357"/>
      <c r="V25" s="305"/>
      <c r="W25" s="153"/>
      <c r="X25" s="354" t="s">
        <v>165</v>
      </c>
      <c r="Y25" s="355"/>
      <c r="Z25" s="353">
        <f>Datos!H82</f>
        <v>45187</v>
      </c>
      <c r="AA25" s="353"/>
      <c r="AB25" s="327"/>
      <c r="AC25" s="327"/>
      <c r="AD25" s="327"/>
      <c r="AE25" s="327"/>
      <c r="AF25" s="327"/>
    </row>
    <row r="26" spans="1:33" s="151" customFormat="1" ht="19.25" customHeight="1">
      <c r="A26" s="152"/>
      <c r="B26" s="348" t="s">
        <v>47</v>
      </c>
      <c r="C26" s="348"/>
      <c r="D26" s="178" t="s">
        <v>54</v>
      </c>
      <c r="E26" s="178"/>
      <c r="F26" s="178"/>
      <c r="G26" s="178"/>
      <c r="H26" s="178"/>
      <c r="I26" s="178"/>
      <c r="J26" s="178"/>
      <c r="K26" s="160" t="s">
        <v>118</v>
      </c>
      <c r="L26" s="180" t="s">
        <v>122</v>
      </c>
      <c r="O26" s="365" t="s">
        <v>235</v>
      </c>
      <c r="P26" s="366"/>
      <c r="Q26" s="366"/>
      <c r="R26" s="366"/>
      <c r="S26" s="366"/>
      <c r="T26" s="366"/>
      <c r="U26" s="366"/>
      <c r="V26" s="367"/>
      <c r="W26" s="153"/>
      <c r="X26" s="354" t="str">
        <f>Datos!C85</f>
        <v>Valor corregido</v>
      </c>
      <c r="Y26" s="355"/>
      <c r="Z26" s="351">
        <f>Datos!D85</f>
        <v>49.994999999999997</v>
      </c>
      <c r="AA26" s="351"/>
      <c r="AB26" s="327"/>
      <c r="AC26" s="327"/>
      <c r="AD26" s="327"/>
      <c r="AE26" s="327"/>
      <c r="AF26" s="327"/>
    </row>
    <row r="27" spans="1:33" s="151" customFormat="1" ht="19.25" customHeight="1">
      <c r="A27" s="152"/>
      <c r="B27" s="348" t="s">
        <v>52</v>
      </c>
      <c r="C27" s="348"/>
      <c r="D27" s="178" t="s">
        <v>53</v>
      </c>
      <c r="E27" s="178"/>
      <c r="F27" s="178"/>
      <c r="G27" s="178"/>
      <c r="H27" s="178"/>
      <c r="I27" s="178"/>
      <c r="J27" s="178"/>
      <c r="K27" s="160" t="s">
        <v>10</v>
      </c>
      <c r="L27" s="181" t="s">
        <v>121</v>
      </c>
      <c r="O27" s="368"/>
      <c r="P27" s="369"/>
      <c r="Q27" s="369"/>
      <c r="R27" s="369"/>
      <c r="S27" s="369"/>
      <c r="T27" s="369"/>
      <c r="U27" s="369"/>
      <c r="V27" s="370"/>
      <c r="W27" s="153"/>
    </row>
    <row r="28" spans="1:33" s="151" customFormat="1" ht="19.25" customHeight="1" thickBot="1">
      <c r="A28" s="149"/>
      <c r="B28" s="348" t="s">
        <v>48</v>
      </c>
      <c r="C28" s="348"/>
      <c r="D28" s="178" t="s">
        <v>55</v>
      </c>
      <c r="E28" s="178"/>
      <c r="F28" s="178"/>
      <c r="G28" s="178"/>
      <c r="H28" s="178"/>
      <c r="I28" s="178"/>
      <c r="J28" s="178"/>
      <c r="K28" s="160" t="s">
        <v>11</v>
      </c>
      <c r="L28" s="180" t="s">
        <v>123</v>
      </c>
      <c r="O28" s="149"/>
      <c r="P28" s="149"/>
      <c r="Q28" s="149"/>
      <c r="R28" s="149"/>
      <c r="S28" s="149"/>
      <c r="T28" s="149"/>
      <c r="U28" s="149"/>
      <c r="V28" s="149"/>
      <c r="W28" s="153"/>
    </row>
    <row r="29" spans="1:33" s="151" customFormat="1" ht="24" customHeight="1" thickBot="1">
      <c r="A29" s="149"/>
      <c r="B29" s="432" t="s">
        <v>279</v>
      </c>
      <c r="C29" s="433"/>
      <c r="D29" s="433"/>
      <c r="E29" s="433"/>
      <c r="F29" s="392" t="s">
        <v>16</v>
      </c>
      <c r="G29" s="392"/>
      <c r="H29" s="392"/>
      <c r="I29" s="393"/>
      <c r="J29" s="394"/>
      <c r="K29" s="395"/>
      <c r="L29" s="395"/>
      <c r="M29" s="395"/>
      <c r="N29" s="395"/>
      <c r="O29" s="396"/>
      <c r="P29" s="391" t="s">
        <v>277</v>
      </c>
      <c r="Q29" s="392"/>
      <c r="R29" s="392"/>
      <c r="S29" s="393"/>
      <c r="T29" s="388"/>
      <c r="U29" s="389"/>
      <c r="V29" s="390"/>
      <c r="W29" s="153"/>
    </row>
    <row r="30" spans="1:33" s="151" customFormat="1" ht="24" customHeight="1">
      <c r="A30" s="149"/>
      <c r="B30" s="420" t="s">
        <v>21</v>
      </c>
      <c r="C30" s="421" t="s">
        <v>0</v>
      </c>
      <c r="D30" s="422"/>
      <c r="E30" s="337" t="s">
        <v>240</v>
      </c>
      <c r="F30" s="425" t="s">
        <v>9</v>
      </c>
      <c r="G30" s="426" t="s">
        <v>58</v>
      </c>
      <c r="H30" s="426" t="s">
        <v>57</v>
      </c>
      <c r="I30" s="426" t="s">
        <v>56</v>
      </c>
      <c r="J30" s="426" t="s">
        <v>197</v>
      </c>
      <c r="K30" s="425" t="s">
        <v>182</v>
      </c>
      <c r="L30" s="420" t="s">
        <v>181</v>
      </c>
      <c r="M30" s="420" t="s">
        <v>184</v>
      </c>
      <c r="N30" s="420" t="s">
        <v>160</v>
      </c>
      <c r="O30" s="420" t="s">
        <v>161</v>
      </c>
      <c r="P30" s="420" t="s">
        <v>222</v>
      </c>
      <c r="Q30" s="420" t="s">
        <v>183</v>
      </c>
      <c r="R30" s="420" t="s">
        <v>185</v>
      </c>
      <c r="S30" s="420" t="s">
        <v>157</v>
      </c>
      <c r="T30" s="429" t="s">
        <v>159</v>
      </c>
      <c r="U30" s="429"/>
      <c r="V30" s="429"/>
      <c r="W30" s="153"/>
    </row>
    <row r="31" spans="1:33" s="151" customFormat="1" ht="31.5" customHeight="1">
      <c r="A31" s="149"/>
      <c r="B31" s="420"/>
      <c r="C31" s="423"/>
      <c r="D31" s="424"/>
      <c r="E31" s="338"/>
      <c r="F31" s="425"/>
      <c r="G31" s="426"/>
      <c r="H31" s="426"/>
      <c r="I31" s="426"/>
      <c r="J31" s="426"/>
      <c r="K31" s="425"/>
      <c r="L31" s="420"/>
      <c r="M31" s="420"/>
      <c r="N31" s="420"/>
      <c r="O31" s="420"/>
      <c r="P31" s="420"/>
      <c r="Q31" s="420"/>
      <c r="R31" s="420"/>
      <c r="S31" s="420"/>
      <c r="T31" s="182" t="s">
        <v>158</v>
      </c>
      <c r="U31" s="429" t="s">
        <v>204</v>
      </c>
      <c r="V31" s="429"/>
      <c r="W31" s="153"/>
    </row>
    <row r="32" spans="1:33" s="151" customFormat="1" ht="17.75" customHeight="1">
      <c r="A32" s="149"/>
      <c r="B32" s="183" t="s">
        <v>32</v>
      </c>
      <c r="C32" s="427" t="s">
        <v>119</v>
      </c>
      <c r="D32" s="427"/>
      <c r="E32" s="185"/>
      <c r="F32" s="186" t="s">
        <v>39</v>
      </c>
      <c r="G32" s="187" t="s">
        <v>32</v>
      </c>
      <c r="H32" s="307"/>
      <c r="I32" s="307"/>
      <c r="J32" s="308"/>
      <c r="K32" s="309">
        <v>0.01</v>
      </c>
      <c r="L32" s="188">
        <f>IF(K32="","-",(K32-$O$16)/$O$15)</f>
        <v>9.9546013430436443E-3</v>
      </c>
      <c r="M32" s="189" t="s">
        <v>32</v>
      </c>
      <c r="N32" s="189" t="s">
        <v>32</v>
      </c>
      <c r="O32" s="189" t="s">
        <v>32</v>
      </c>
      <c r="P32" s="189" t="s">
        <v>32</v>
      </c>
      <c r="Q32" s="190" t="s">
        <v>32</v>
      </c>
      <c r="R32" s="189" t="s">
        <v>32</v>
      </c>
      <c r="S32" s="190" t="s">
        <v>32</v>
      </c>
      <c r="T32" s="190" t="s">
        <v>32</v>
      </c>
      <c r="U32" s="430" t="s">
        <v>32</v>
      </c>
      <c r="V32" s="430"/>
      <c r="AD32" s="156"/>
      <c r="AE32" s="156"/>
      <c r="AF32" s="156"/>
      <c r="AG32" s="156"/>
    </row>
    <row r="33" spans="1:33" s="151" customFormat="1" ht="17.75" customHeight="1">
      <c r="A33" s="149"/>
      <c r="B33" s="183" t="s">
        <v>32</v>
      </c>
      <c r="C33" s="427" t="s">
        <v>119</v>
      </c>
      <c r="D33" s="427" t="s">
        <v>119</v>
      </c>
      <c r="E33" s="185"/>
      <c r="F33" s="186" t="s">
        <v>39</v>
      </c>
      <c r="G33" s="187" t="s">
        <v>32</v>
      </c>
      <c r="H33" s="307"/>
      <c r="I33" s="307"/>
      <c r="J33" s="308"/>
      <c r="K33" s="309">
        <v>0.02</v>
      </c>
      <c r="L33" s="188">
        <f>IF(K33="","-",(K33-$O$16)/$O$15)</f>
        <v>2.3810649768277729E-2</v>
      </c>
      <c r="M33" s="189" t="s">
        <v>32</v>
      </c>
      <c r="N33" s="189" t="s">
        <v>32</v>
      </c>
      <c r="O33" s="189" t="s">
        <v>32</v>
      </c>
      <c r="P33" s="189" t="s">
        <v>32</v>
      </c>
      <c r="Q33" s="190" t="s">
        <v>32</v>
      </c>
      <c r="R33" s="189" t="s">
        <v>32</v>
      </c>
      <c r="S33" s="190" t="s">
        <v>32</v>
      </c>
      <c r="T33" s="190" t="s">
        <v>32</v>
      </c>
      <c r="U33" s="430" t="s">
        <v>32</v>
      </c>
      <c r="V33" s="430"/>
      <c r="AB33" s="156"/>
      <c r="AC33" s="156"/>
      <c r="AD33" s="156"/>
      <c r="AE33" s="156"/>
      <c r="AF33" s="156"/>
      <c r="AG33" s="156"/>
    </row>
    <row r="34" spans="1:33" s="151" customFormat="1" ht="17.75" customHeight="1">
      <c r="A34" s="149"/>
      <c r="B34" s="191" t="s">
        <v>32</v>
      </c>
      <c r="C34" s="184">
        <f>Datos!$J$14</f>
        <v>2.5</v>
      </c>
      <c r="D34" s="184" t="s">
        <v>126</v>
      </c>
      <c r="E34" s="185"/>
      <c r="F34" s="192" t="s">
        <v>118</v>
      </c>
      <c r="G34" s="187" t="s">
        <v>32</v>
      </c>
      <c r="H34" s="193" t="s">
        <v>32</v>
      </c>
      <c r="I34" s="193" t="s">
        <v>32</v>
      </c>
      <c r="J34" s="194" t="s">
        <v>32</v>
      </c>
      <c r="K34" s="309"/>
      <c r="L34" s="188" t="str">
        <f t="shared" ref="L34:L97" si="0">IF(K34="","-",((K34-AVERAGE($K$32:$K$33)-$O$16)/$O$15))</f>
        <v>-</v>
      </c>
      <c r="M34" s="189" t="s">
        <v>32</v>
      </c>
      <c r="N34" s="189" t="s">
        <v>32</v>
      </c>
      <c r="O34" s="189" t="s">
        <v>32</v>
      </c>
      <c r="P34" s="189" t="s">
        <v>32</v>
      </c>
      <c r="Q34" s="190" t="s">
        <v>32</v>
      </c>
      <c r="R34" s="189" t="s">
        <v>32</v>
      </c>
      <c r="S34" s="190" t="s">
        <v>32</v>
      </c>
      <c r="T34" s="195" t="str">
        <f>IF(K34="","-",ROUND(100*(L34-C34)/C34,1))</f>
        <v>-</v>
      </c>
      <c r="U34" s="431" t="str">
        <f>IF(K34="","-",IF(AND(T34&lt;=$T$15,T34&gt;=-$T$15),"Cumple","No cumple"))</f>
        <v>-</v>
      </c>
      <c r="V34" s="431"/>
    </row>
    <row r="35" spans="1:33" s="151" customFormat="1" ht="17.75" customHeight="1">
      <c r="A35" s="149"/>
      <c r="B35" s="191" t="s">
        <v>32</v>
      </c>
      <c r="C35" s="428"/>
      <c r="D35" s="428"/>
      <c r="E35" s="185"/>
      <c r="F35" s="192" t="s">
        <v>117</v>
      </c>
      <c r="G35" s="306" t="s">
        <v>280</v>
      </c>
      <c r="H35" s="307">
        <v>50</v>
      </c>
      <c r="I35" s="307">
        <v>50</v>
      </c>
      <c r="J35" s="308">
        <v>5</v>
      </c>
      <c r="K35" s="309">
        <v>2.5000000000000001E-2</v>
      </c>
      <c r="L35" s="188">
        <f>IF(K35="","-",((K35-AVERAGE($K$32:$K$33)-$O$16)/$O$15))</f>
        <v>9.954601343043646E-3</v>
      </c>
      <c r="M35" s="196" t="e">
        <f t="shared" ref="M35:M56" si="1">IF(G35="","-",G35+(AA$10*G35))</f>
        <v>#VALUE!</v>
      </c>
      <c r="N35" s="197">
        <f t="shared" ref="N35:N56" si="2">IF(H35="","-",IF(H35&lt;=X$19,H35*Z$18+AA$18,H35*Z$19+AA$19))</f>
        <v>50.01</v>
      </c>
      <c r="O35" s="188">
        <f t="shared" ref="O35:O56" si="3">IF(I35="","-",$Z$26)</f>
        <v>49.994999999999997</v>
      </c>
      <c r="P35" s="150">
        <f>IF(J35="","-",IF(J35&lt;=AC$19,J35*AE18+AF$18,J35*AE$19+AF$19))</f>
        <v>5.0070000000000006</v>
      </c>
      <c r="Q35" s="198" t="e">
        <f>IF(K35="","-",(L35*(N35/M35)*(O35/P35)))</f>
        <v>#VALUE!</v>
      </c>
      <c r="R35" s="189" t="s">
        <v>32</v>
      </c>
      <c r="S35" s="190" t="s">
        <v>32</v>
      </c>
      <c r="T35" s="199" t="s">
        <v>32</v>
      </c>
      <c r="U35" s="431" t="e">
        <f>IF(K35="","-",IF(AND(Q35&gt;=$V$17,Q35&lt;=$T$17),"Cumple","No Cumple"))</f>
        <v>#VALUE!</v>
      </c>
      <c r="V35" s="431"/>
      <c r="Z35" s="302"/>
    </row>
    <row r="36" spans="1:33" s="151" customFormat="1" ht="17.75" customHeight="1">
      <c r="A36" s="149"/>
      <c r="B36" s="191" t="s">
        <v>187</v>
      </c>
      <c r="C36" s="350"/>
      <c r="D36" s="350"/>
      <c r="E36" s="200"/>
      <c r="F36" s="192" t="s">
        <v>11</v>
      </c>
      <c r="G36" s="308"/>
      <c r="H36" s="307"/>
      <c r="I36" s="307"/>
      <c r="J36" s="308"/>
      <c r="K36" s="310"/>
      <c r="L36" s="188" t="str">
        <f t="shared" si="0"/>
        <v>-</v>
      </c>
      <c r="M36" s="196" t="str">
        <f t="shared" si="1"/>
        <v>-</v>
      </c>
      <c r="N36" s="197" t="str">
        <f t="shared" si="2"/>
        <v>-</v>
      </c>
      <c r="O36" s="188" t="str">
        <f t="shared" si="3"/>
        <v>-</v>
      </c>
      <c r="P36" s="150" t="str">
        <f t="shared" ref="P36:P56" si="4">IF(J36="","-",IF(J36&lt;=AC$19,J36*AE$18+AF$18,J36*AE$19+AF$19))</f>
        <v>-</v>
      </c>
      <c r="Q36" s="198" t="str">
        <f t="shared" ref="Q36:Q56" si="5">IF(K36="","-",FIXED((L36*(N36/M36)*(O36/P36)),2))</f>
        <v>-</v>
      </c>
      <c r="R36" s="189" t="s">
        <v>32</v>
      </c>
      <c r="S36" s="190" t="s">
        <v>32</v>
      </c>
      <c r="T36" s="201" t="str">
        <f>IF(C36="","-",ROUND(2*(Q36-Q37)*100/(Q36+Q37),1))</f>
        <v>-</v>
      </c>
      <c r="U36" s="431" t="str">
        <f>IF(K36="","-",IF(ABS(T36)&lt;=$T$16,"Cumple","No cumple"))</f>
        <v>-</v>
      </c>
      <c r="V36" s="431"/>
    </row>
    <row r="37" spans="1:33" s="151" customFormat="1" ht="17.75" customHeight="1">
      <c r="A37" s="149"/>
      <c r="B37" s="166">
        <f>IF(F37="M",COUNTIF($F$36:F37,"M"),"-")</f>
        <v>1</v>
      </c>
      <c r="C37" s="350"/>
      <c r="D37" s="350"/>
      <c r="E37" s="312"/>
      <c r="F37" s="183" t="s">
        <v>10</v>
      </c>
      <c r="G37" s="304"/>
      <c r="H37" s="307"/>
      <c r="I37" s="307"/>
      <c r="J37" s="308"/>
      <c r="K37" s="310"/>
      <c r="L37" s="188" t="str">
        <f t="shared" si="0"/>
        <v>-</v>
      </c>
      <c r="M37" s="196" t="str">
        <f t="shared" si="1"/>
        <v>-</v>
      </c>
      <c r="N37" s="197" t="str">
        <f t="shared" si="2"/>
        <v>-</v>
      </c>
      <c r="O37" s="188" t="str">
        <f t="shared" si="3"/>
        <v>-</v>
      </c>
      <c r="P37" s="150" t="str">
        <f t="shared" si="4"/>
        <v>-</v>
      </c>
      <c r="Q37" s="198" t="str">
        <f t="shared" si="5"/>
        <v>-</v>
      </c>
      <c r="R37" s="202" t="str">
        <f>IF(Q37="","-",IF(Q37&lt;$Q$19,"&lt; LC","-"))</f>
        <v>-</v>
      </c>
      <c r="S37" s="198" t="str">
        <f>IF(Q37="-","-",VLOOKUP(B37,'UEstandar-Uexp'!$A$125:$Z$324,11))</f>
        <v>-</v>
      </c>
      <c r="T37" s="190" t="s">
        <v>32</v>
      </c>
      <c r="U37" s="430" t="s">
        <v>32</v>
      </c>
      <c r="V37" s="430"/>
    </row>
    <row r="38" spans="1:33" s="151" customFormat="1" ht="17.75" customHeight="1">
      <c r="A38" s="149"/>
      <c r="B38" s="166">
        <f>IF(F38="M",COUNTIF($F$36:F38,"M"),"-")</f>
        <v>2</v>
      </c>
      <c r="C38" s="350"/>
      <c r="D38" s="350"/>
      <c r="E38" s="312"/>
      <c r="F38" s="183" t="s">
        <v>10</v>
      </c>
      <c r="G38" s="308"/>
      <c r="H38" s="307"/>
      <c r="I38" s="307"/>
      <c r="J38" s="308"/>
      <c r="K38" s="311"/>
      <c r="L38" s="188" t="str">
        <f t="shared" si="0"/>
        <v>-</v>
      </c>
      <c r="M38" s="196" t="str">
        <f t="shared" si="1"/>
        <v>-</v>
      </c>
      <c r="N38" s="197" t="str">
        <f t="shared" si="2"/>
        <v>-</v>
      </c>
      <c r="O38" s="188" t="str">
        <f t="shared" si="3"/>
        <v>-</v>
      </c>
      <c r="P38" s="150" t="str">
        <f>IF(J38="","-",IF(J38&lt;=AC$19,J38*AE$18+AF$18,J38*AE$19+AF$19))</f>
        <v>-</v>
      </c>
      <c r="Q38" s="198" t="str">
        <f t="shared" si="5"/>
        <v>-</v>
      </c>
      <c r="R38" s="202" t="str">
        <f t="shared" ref="R38:R56" si="6">IF(Q38="","-",IF(Q38&lt;$Q$19,"&lt; LC","-"))</f>
        <v>-</v>
      </c>
      <c r="S38" s="198" t="str">
        <f>IF(Q38="-","-",VLOOKUP(B38,'UEstandar-Uexp'!$A$125:$Z$324,11))</f>
        <v>-</v>
      </c>
      <c r="T38" s="190" t="s">
        <v>32</v>
      </c>
      <c r="U38" s="430" t="s">
        <v>32</v>
      </c>
      <c r="V38" s="430"/>
    </row>
    <row r="39" spans="1:33" s="151" customFormat="1" ht="17.75" customHeight="1">
      <c r="A39" s="149"/>
      <c r="B39" s="166">
        <f>IF(F39="M",COUNTIF($F$36:F39,"M"),"-")</f>
        <v>3</v>
      </c>
      <c r="C39" s="350"/>
      <c r="D39" s="350"/>
      <c r="E39" s="312"/>
      <c r="F39" s="183" t="s">
        <v>10</v>
      </c>
      <c r="G39" s="308"/>
      <c r="H39" s="307"/>
      <c r="I39" s="307"/>
      <c r="J39" s="308"/>
      <c r="K39" s="311"/>
      <c r="L39" s="188" t="str">
        <f t="shared" si="0"/>
        <v>-</v>
      </c>
      <c r="M39" s="196" t="str">
        <f t="shared" si="1"/>
        <v>-</v>
      </c>
      <c r="N39" s="197" t="str">
        <f t="shared" si="2"/>
        <v>-</v>
      </c>
      <c r="O39" s="188" t="str">
        <f t="shared" si="3"/>
        <v>-</v>
      </c>
      <c r="P39" s="150" t="str">
        <f t="shared" si="4"/>
        <v>-</v>
      </c>
      <c r="Q39" s="198" t="str">
        <f t="shared" si="5"/>
        <v>-</v>
      </c>
      <c r="R39" s="202" t="str">
        <f t="shared" si="6"/>
        <v>-</v>
      </c>
      <c r="S39" s="198" t="str">
        <f>IF(Q39="-","-",VLOOKUP(B39,'UEstandar-Uexp'!$A$125:$Z$324,11))</f>
        <v>-</v>
      </c>
      <c r="T39" s="190" t="s">
        <v>32</v>
      </c>
      <c r="U39" s="430" t="s">
        <v>32</v>
      </c>
      <c r="V39" s="430"/>
    </row>
    <row r="40" spans="1:33" s="151" customFormat="1" ht="17.75" customHeight="1">
      <c r="A40" s="149"/>
      <c r="B40" s="166">
        <f>IF(F40="M",COUNTIF($F$36:F40,"M"),"-")</f>
        <v>4</v>
      </c>
      <c r="C40" s="350"/>
      <c r="D40" s="350"/>
      <c r="E40" s="312"/>
      <c r="F40" s="183" t="s">
        <v>10</v>
      </c>
      <c r="G40" s="308"/>
      <c r="H40" s="307"/>
      <c r="I40" s="307"/>
      <c r="J40" s="308"/>
      <c r="K40" s="311"/>
      <c r="L40" s="188" t="str">
        <f t="shared" si="0"/>
        <v>-</v>
      </c>
      <c r="M40" s="196" t="str">
        <f t="shared" si="1"/>
        <v>-</v>
      </c>
      <c r="N40" s="197" t="str">
        <f t="shared" si="2"/>
        <v>-</v>
      </c>
      <c r="O40" s="188" t="str">
        <f t="shared" si="3"/>
        <v>-</v>
      </c>
      <c r="P40" s="150" t="str">
        <f t="shared" si="4"/>
        <v>-</v>
      </c>
      <c r="Q40" s="198" t="str">
        <f t="shared" si="5"/>
        <v>-</v>
      </c>
      <c r="R40" s="202" t="str">
        <f t="shared" si="6"/>
        <v>-</v>
      </c>
      <c r="S40" s="198" t="str">
        <f>IF(Q40="-","-",VLOOKUP(B40,'UEstandar-Uexp'!$A$125:$Z$324,11))</f>
        <v>-</v>
      </c>
      <c r="T40" s="190" t="s">
        <v>32</v>
      </c>
      <c r="U40" s="430" t="s">
        <v>32</v>
      </c>
      <c r="V40" s="430"/>
    </row>
    <row r="41" spans="1:33" s="151" customFormat="1" ht="17.75" customHeight="1">
      <c r="A41" s="149"/>
      <c r="B41" s="166">
        <f>IF(F41="M",COUNTIF($F$36:F41,"M"),"-")</f>
        <v>5</v>
      </c>
      <c r="C41" s="350"/>
      <c r="D41" s="350"/>
      <c r="E41" s="312"/>
      <c r="F41" s="183" t="s">
        <v>10</v>
      </c>
      <c r="G41" s="308"/>
      <c r="H41" s="307"/>
      <c r="I41" s="307"/>
      <c r="J41" s="308"/>
      <c r="K41" s="311"/>
      <c r="L41" s="188" t="str">
        <f t="shared" si="0"/>
        <v>-</v>
      </c>
      <c r="M41" s="196" t="str">
        <f t="shared" si="1"/>
        <v>-</v>
      </c>
      <c r="N41" s="197" t="str">
        <f t="shared" si="2"/>
        <v>-</v>
      </c>
      <c r="O41" s="188" t="str">
        <f t="shared" si="3"/>
        <v>-</v>
      </c>
      <c r="P41" s="150" t="str">
        <f t="shared" si="4"/>
        <v>-</v>
      </c>
      <c r="Q41" s="198" t="str">
        <f t="shared" si="5"/>
        <v>-</v>
      </c>
      <c r="R41" s="202" t="str">
        <f t="shared" si="6"/>
        <v>-</v>
      </c>
      <c r="S41" s="198" t="str">
        <f>IF(Q41="-","-",VLOOKUP(B41,'UEstandar-Uexp'!$A$125:$Z$324,11))</f>
        <v>-</v>
      </c>
      <c r="T41" s="190" t="s">
        <v>32</v>
      </c>
      <c r="U41" s="430" t="s">
        <v>32</v>
      </c>
      <c r="V41" s="430"/>
    </row>
    <row r="42" spans="1:33" s="151" customFormat="1" ht="17.75" customHeight="1">
      <c r="A42" s="149"/>
      <c r="B42" s="166">
        <f>IF(F42="M",COUNTIF($F$36:F42,"M"),"-")</f>
        <v>6</v>
      </c>
      <c r="C42" s="350"/>
      <c r="D42" s="350"/>
      <c r="E42" s="312"/>
      <c r="F42" s="183" t="s">
        <v>10</v>
      </c>
      <c r="G42" s="308"/>
      <c r="H42" s="307"/>
      <c r="I42" s="307"/>
      <c r="J42" s="308"/>
      <c r="K42" s="311"/>
      <c r="L42" s="188" t="str">
        <f t="shared" si="0"/>
        <v>-</v>
      </c>
      <c r="M42" s="196" t="str">
        <f t="shared" si="1"/>
        <v>-</v>
      </c>
      <c r="N42" s="197" t="str">
        <f t="shared" si="2"/>
        <v>-</v>
      </c>
      <c r="O42" s="188" t="str">
        <f t="shared" si="3"/>
        <v>-</v>
      </c>
      <c r="P42" s="150" t="str">
        <f t="shared" si="4"/>
        <v>-</v>
      </c>
      <c r="Q42" s="198" t="str">
        <f t="shared" si="5"/>
        <v>-</v>
      </c>
      <c r="R42" s="202" t="str">
        <f t="shared" si="6"/>
        <v>-</v>
      </c>
      <c r="S42" s="198" t="str">
        <f>IF(Q42="-","-",VLOOKUP(B42,'UEstandar-Uexp'!$A$125:$Z$324,11))</f>
        <v>-</v>
      </c>
      <c r="T42" s="190" t="s">
        <v>32</v>
      </c>
      <c r="U42" s="430" t="s">
        <v>32</v>
      </c>
      <c r="V42" s="430"/>
    </row>
    <row r="43" spans="1:33" s="151" customFormat="1" ht="17.75" customHeight="1">
      <c r="A43" s="149"/>
      <c r="B43" s="166">
        <f>IF(F43="M",COUNTIF($F$36:F43,"M"),"-")</f>
        <v>7</v>
      </c>
      <c r="C43" s="350"/>
      <c r="D43" s="350"/>
      <c r="E43" s="312"/>
      <c r="F43" s="183" t="s">
        <v>10</v>
      </c>
      <c r="G43" s="306"/>
      <c r="H43" s="307"/>
      <c r="I43" s="307"/>
      <c r="J43" s="308"/>
      <c r="K43" s="311"/>
      <c r="L43" s="188" t="str">
        <f t="shared" si="0"/>
        <v>-</v>
      </c>
      <c r="M43" s="196" t="str">
        <f t="shared" si="1"/>
        <v>-</v>
      </c>
      <c r="N43" s="197" t="str">
        <f t="shared" si="2"/>
        <v>-</v>
      </c>
      <c r="O43" s="188" t="str">
        <f t="shared" si="3"/>
        <v>-</v>
      </c>
      <c r="P43" s="150" t="str">
        <f t="shared" si="4"/>
        <v>-</v>
      </c>
      <c r="Q43" s="198" t="str">
        <f t="shared" si="5"/>
        <v>-</v>
      </c>
      <c r="R43" s="202" t="str">
        <f t="shared" si="6"/>
        <v>-</v>
      </c>
      <c r="S43" s="198" t="str">
        <f>IF(Q43="-","-",VLOOKUP(B43,'UEstandar-Uexp'!$A$125:$Z$324,11))</f>
        <v>-</v>
      </c>
      <c r="T43" s="190" t="s">
        <v>32</v>
      </c>
      <c r="U43" s="430" t="s">
        <v>32</v>
      </c>
      <c r="V43" s="430"/>
    </row>
    <row r="44" spans="1:33" s="151" customFormat="1" ht="17.75" customHeight="1">
      <c r="A44" s="149"/>
      <c r="B44" s="166">
        <f>IF(F44="M",COUNTIF($F$36:F44,"M"),"-")</f>
        <v>8</v>
      </c>
      <c r="C44" s="350"/>
      <c r="D44" s="350"/>
      <c r="E44" s="312"/>
      <c r="F44" s="183" t="s">
        <v>10</v>
      </c>
      <c r="G44" s="308"/>
      <c r="H44" s="307"/>
      <c r="I44" s="307"/>
      <c r="J44" s="308"/>
      <c r="K44" s="311"/>
      <c r="L44" s="188" t="str">
        <f t="shared" si="0"/>
        <v>-</v>
      </c>
      <c r="M44" s="196" t="str">
        <f t="shared" si="1"/>
        <v>-</v>
      </c>
      <c r="N44" s="197" t="str">
        <f t="shared" si="2"/>
        <v>-</v>
      </c>
      <c r="O44" s="188" t="str">
        <f t="shared" si="3"/>
        <v>-</v>
      </c>
      <c r="P44" s="150" t="str">
        <f t="shared" si="4"/>
        <v>-</v>
      </c>
      <c r="Q44" s="198" t="str">
        <f t="shared" si="5"/>
        <v>-</v>
      </c>
      <c r="R44" s="202" t="str">
        <f t="shared" si="6"/>
        <v>-</v>
      </c>
      <c r="S44" s="198" t="str">
        <f>IF(Q44="-","-",VLOOKUP(B44,'UEstandar-Uexp'!$A$125:$Z$324,11))</f>
        <v>-</v>
      </c>
      <c r="T44" s="190" t="s">
        <v>32</v>
      </c>
      <c r="U44" s="430" t="s">
        <v>32</v>
      </c>
      <c r="V44" s="430"/>
    </row>
    <row r="45" spans="1:33" s="151" customFormat="1" ht="17.75" customHeight="1">
      <c r="A45" s="149"/>
      <c r="B45" s="166">
        <f>IF(F45="M",COUNTIF($F$36:F45,"M"),"-")</f>
        <v>9</v>
      </c>
      <c r="C45" s="350"/>
      <c r="D45" s="350"/>
      <c r="E45" s="312"/>
      <c r="F45" s="183" t="s">
        <v>10</v>
      </c>
      <c r="G45" s="304"/>
      <c r="H45" s="307"/>
      <c r="I45" s="307"/>
      <c r="J45" s="308"/>
      <c r="K45" s="311"/>
      <c r="L45" s="188" t="str">
        <f t="shared" si="0"/>
        <v>-</v>
      </c>
      <c r="M45" s="196" t="str">
        <f t="shared" si="1"/>
        <v>-</v>
      </c>
      <c r="N45" s="197" t="str">
        <f t="shared" si="2"/>
        <v>-</v>
      </c>
      <c r="O45" s="188" t="str">
        <f t="shared" si="3"/>
        <v>-</v>
      </c>
      <c r="P45" s="150" t="str">
        <f t="shared" si="4"/>
        <v>-</v>
      </c>
      <c r="Q45" s="198" t="str">
        <f t="shared" si="5"/>
        <v>-</v>
      </c>
      <c r="R45" s="202" t="str">
        <f t="shared" si="6"/>
        <v>-</v>
      </c>
      <c r="S45" s="198" t="str">
        <f>IF(Q45="-","-",VLOOKUP(B45,'UEstandar-Uexp'!$A$125:$Z$324,11))</f>
        <v>-</v>
      </c>
      <c r="T45" s="190" t="s">
        <v>32</v>
      </c>
      <c r="U45" s="430" t="s">
        <v>32</v>
      </c>
      <c r="V45" s="430"/>
    </row>
    <row r="46" spans="1:33" s="151" customFormat="1" ht="17.75" customHeight="1">
      <c r="A46" s="149"/>
      <c r="B46" s="166">
        <f>IF(F46="M",COUNTIF($F$36:F46,"M"),"-")</f>
        <v>10</v>
      </c>
      <c r="C46" s="350"/>
      <c r="D46" s="350"/>
      <c r="E46" s="312"/>
      <c r="F46" s="183" t="s">
        <v>10</v>
      </c>
      <c r="G46" s="308"/>
      <c r="H46" s="307"/>
      <c r="I46" s="307"/>
      <c r="J46" s="308"/>
      <c r="K46" s="309"/>
      <c r="L46" s="188" t="str">
        <f t="shared" si="0"/>
        <v>-</v>
      </c>
      <c r="M46" s="196" t="str">
        <f t="shared" si="1"/>
        <v>-</v>
      </c>
      <c r="N46" s="197" t="str">
        <f t="shared" si="2"/>
        <v>-</v>
      </c>
      <c r="O46" s="188" t="str">
        <f t="shared" si="3"/>
        <v>-</v>
      </c>
      <c r="P46" s="150" t="str">
        <f t="shared" si="4"/>
        <v>-</v>
      </c>
      <c r="Q46" s="198" t="str">
        <f t="shared" si="5"/>
        <v>-</v>
      </c>
      <c r="R46" s="202" t="str">
        <f t="shared" si="6"/>
        <v>-</v>
      </c>
      <c r="S46" s="198" t="str">
        <f>IF(Q46="-","-",VLOOKUP(B46,'UEstandar-Uexp'!$A$125:$Z$324,11))</f>
        <v>-</v>
      </c>
      <c r="T46" s="190" t="s">
        <v>32</v>
      </c>
      <c r="U46" s="430" t="s">
        <v>32</v>
      </c>
      <c r="V46" s="430"/>
    </row>
    <row r="47" spans="1:33" s="151" customFormat="1" ht="17.75" customHeight="1">
      <c r="A47" s="149"/>
      <c r="B47" s="166">
        <f>IF(F47="M",COUNTIF($F$36:F47,"M"),"-")</f>
        <v>11</v>
      </c>
      <c r="C47" s="350"/>
      <c r="D47" s="350"/>
      <c r="E47" s="312"/>
      <c r="F47" s="183" t="s">
        <v>10</v>
      </c>
      <c r="G47" s="308"/>
      <c r="H47" s="307"/>
      <c r="I47" s="307"/>
      <c r="J47" s="308"/>
      <c r="K47" s="309"/>
      <c r="L47" s="188" t="str">
        <f t="shared" si="0"/>
        <v>-</v>
      </c>
      <c r="M47" s="196" t="str">
        <f t="shared" si="1"/>
        <v>-</v>
      </c>
      <c r="N47" s="197" t="str">
        <f t="shared" si="2"/>
        <v>-</v>
      </c>
      <c r="O47" s="188" t="str">
        <f t="shared" si="3"/>
        <v>-</v>
      </c>
      <c r="P47" s="150" t="str">
        <f t="shared" si="4"/>
        <v>-</v>
      </c>
      <c r="Q47" s="198" t="str">
        <f t="shared" si="5"/>
        <v>-</v>
      </c>
      <c r="R47" s="202" t="str">
        <f t="shared" si="6"/>
        <v>-</v>
      </c>
      <c r="S47" s="198" t="str">
        <f>IF(Q47="-","-",VLOOKUP(B47,'UEstandar-Uexp'!$A$125:$Z$324,11))</f>
        <v>-</v>
      </c>
      <c r="T47" s="190" t="s">
        <v>32</v>
      </c>
      <c r="U47" s="430" t="s">
        <v>32</v>
      </c>
      <c r="V47" s="430"/>
    </row>
    <row r="48" spans="1:33" s="151" customFormat="1" ht="17.75" customHeight="1">
      <c r="A48" s="149"/>
      <c r="B48" s="166">
        <f>IF(F48="M",COUNTIF($F$36:F48,"M"),"-")</f>
        <v>12</v>
      </c>
      <c r="C48" s="350"/>
      <c r="D48" s="350"/>
      <c r="E48" s="312"/>
      <c r="F48" s="183" t="s">
        <v>10</v>
      </c>
      <c r="G48" s="308"/>
      <c r="H48" s="307"/>
      <c r="I48" s="307"/>
      <c r="J48" s="308"/>
      <c r="K48" s="309"/>
      <c r="L48" s="188" t="str">
        <f t="shared" si="0"/>
        <v>-</v>
      </c>
      <c r="M48" s="196" t="str">
        <f t="shared" si="1"/>
        <v>-</v>
      </c>
      <c r="N48" s="197" t="str">
        <f t="shared" si="2"/>
        <v>-</v>
      </c>
      <c r="O48" s="188" t="str">
        <f t="shared" si="3"/>
        <v>-</v>
      </c>
      <c r="P48" s="150" t="str">
        <f t="shared" si="4"/>
        <v>-</v>
      </c>
      <c r="Q48" s="198" t="str">
        <f t="shared" si="5"/>
        <v>-</v>
      </c>
      <c r="R48" s="202" t="str">
        <f t="shared" si="6"/>
        <v>-</v>
      </c>
      <c r="S48" s="198" t="str">
        <f>IF(Q48="-","-",VLOOKUP(B48,'UEstandar-Uexp'!$A$125:$Z$324,11))</f>
        <v>-</v>
      </c>
      <c r="T48" s="190" t="s">
        <v>32</v>
      </c>
      <c r="U48" s="430" t="s">
        <v>32</v>
      </c>
      <c r="V48" s="430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</row>
    <row r="49" spans="1:23" ht="17.75" customHeight="1">
      <c r="A49" s="149"/>
      <c r="B49" s="166">
        <f>IF(F49="M",COUNTIF($F$36:F49,"M"),"-")</f>
        <v>13</v>
      </c>
      <c r="C49" s="350"/>
      <c r="D49" s="350"/>
      <c r="E49" s="312"/>
      <c r="F49" s="183" t="s">
        <v>10</v>
      </c>
      <c r="G49" s="306"/>
      <c r="H49" s="307"/>
      <c r="I49" s="307"/>
      <c r="J49" s="308"/>
      <c r="K49" s="309"/>
      <c r="L49" s="188" t="str">
        <f t="shared" si="0"/>
        <v>-</v>
      </c>
      <c r="M49" s="196" t="str">
        <f t="shared" si="1"/>
        <v>-</v>
      </c>
      <c r="N49" s="197" t="str">
        <f t="shared" si="2"/>
        <v>-</v>
      </c>
      <c r="O49" s="188" t="str">
        <f t="shared" si="3"/>
        <v>-</v>
      </c>
      <c r="P49" s="150" t="str">
        <f t="shared" si="4"/>
        <v>-</v>
      </c>
      <c r="Q49" s="198" t="str">
        <f t="shared" si="5"/>
        <v>-</v>
      </c>
      <c r="R49" s="202" t="str">
        <f t="shared" si="6"/>
        <v>-</v>
      </c>
      <c r="S49" s="198" t="str">
        <f>IF(Q49="-","-",VLOOKUP(B49,'UEstandar-Uexp'!$A$125:$Z$324,11))</f>
        <v>-</v>
      </c>
      <c r="T49" s="190" t="s">
        <v>32</v>
      </c>
      <c r="U49" s="430" t="s">
        <v>32</v>
      </c>
      <c r="V49" s="430"/>
      <c r="W49" s="151"/>
    </row>
    <row r="50" spans="1:23" ht="17.75" customHeight="1">
      <c r="A50" s="149"/>
      <c r="B50" s="166">
        <f>IF(F50="M",COUNTIF($F$36:F50,"M"),"-")</f>
        <v>14</v>
      </c>
      <c r="C50" s="350"/>
      <c r="D50" s="350"/>
      <c r="E50" s="312"/>
      <c r="F50" s="183" t="s">
        <v>10</v>
      </c>
      <c r="G50" s="308"/>
      <c r="H50" s="307"/>
      <c r="I50" s="307"/>
      <c r="J50" s="308"/>
      <c r="K50" s="309"/>
      <c r="L50" s="188" t="str">
        <f t="shared" si="0"/>
        <v>-</v>
      </c>
      <c r="M50" s="196" t="str">
        <f t="shared" si="1"/>
        <v>-</v>
      </c>
      <c r="N50" s="197" t="str">
        <f t="shared" si="2"/>
        <v>-</v>
      </c>
      <c r="O50" s="188" t="str">
        <f t="shared" si="3"/>
        <v>-</v>
      </c>
      <c r="P50" s="150" t="str">
        <f t="shared" si="4"/>
        <v>-</v>
      </c>
      <c r="Q50" s="198" t="str">
        <f t="shared" si="5"/>
        <v>-</v>
      </c>
      <c r="R50" s="202" t="str">
        <f t="shared" si="6"/>
        <v>-</v>
      </c>
      <c r="S50" s="198" t="str">
        <f>IF(Q50="-","-",VLOOKUP(B50,'UEstandar-Uexp'!$A$125:$Z$324,11))</f>
        <v>-</v>
      </c>
      <c r="T50" s="190" t="s">
        <v>32</v>
      </c>
      <c r="U50" s="430" t="s">
        <v>32</v>
      </c>
      <c r="V50" s="430"/>
      <c r="W50" s="151"/>
    </row>
    <row r="51" spans="1:23" ht="17.75" customHeight="1">
      <c r="A51" s="149"/>
      <c r="B51" s="166">
        <f>IF(F51="M",COUNTIF($F$36:F51,"M"),"-")</f>
        <v>15</v>
      </c>
      <c r="C51" s="350"/>
      <c r="D51" s="350"/>
      <c r="E51" s="312"/>
      <c r="F51" s="183" t="s">
        <v>10</v>
      </c>
      <c r="G51" s="304"/>
      <c r="H51" s="307"/>
      <c r="I51" s="307"/>
      <c r="J51" s="308"/>
      <c r="K51" s="309"/>
      <c r="L51" s="188" t="str">
        <f t="shared" si="0"/>
        <v>-</v>
      </c>
      <c r="M51" s="196" t="str">
        <f t="shared" si="1"/>
        <v>-</v>
      </c>
      <c r="N51" s="197" t="str">
        <f t="shared" si="2"/>
        <v>-</v>
      </c>
      <c r="O51" s="188" t="str">
        <f t="shared" si="3"/>
        <v>-</v>
      </c>
      <c r="P51" s="150" t="str">
        <f t="shared" si="4"/>
        <v>-</v>
      </c>
      <c r="Q51" s="198" t="str">
        <f t="shared" si="5"/>
        <v>-</v>
      </c>
      <c r="R51" s="202" t="str">
        <f t="shared" si="6"/>
        <v>-</v>
      </c>
      <c r="S51" s="198" t="str">
        <f>IF(Q51="-","-",VLOOKUP(B51,'UEstandar-Uexp'!$A$125:$Z$324,11))</f>
        <v>-</v>
      </c>
      <c r="T51" s="190" t="s">
        <v>32</v>
      </c>
      <c r="U51" s="430" t="s">
        <v>32</v>
      </c>
      <c r="V51" s="430"/>
      <c r="W51" s="151"/>
    </row>
    <row r="52" spans="1:23" ht="17.75" customHeight="1">
      <c r="B52" s="166">
        <f>IF(F52="M",COUNTIF($F$36:F52,"M"),"-")</f>
        <v>16</v>
      </c>
      <c r="C52" s="350"/>
      <c r="D52" s="350"/>
      <c r="E52" s="312"/>
      <c r="F52" s="183" t="s">
        <v>10</v>
      </c>
      <c r="G52" s="308"/>
      <c r="H52" s="307"/>
      <c r="I52" s="307"/>
      <c r="J52" s="308"/>
      <c r="K52" s="310"/>
      <c r="L52" s="188" t="str">
        <f t="shared" si="0"/>
        <v>-</v>
      </c>
      <c r="M52" s="196" t="str">
        <f t="shared" si="1"/>
        <v>-</v>
      </c>
      <c r="N52" s="197" t="str">
        <f t="shared" si="2"/>
        <v>-</v>
      </c>
      <c r="O52" s="188" t="str">
        <f t="shared" si="3"/>
        <v>-</v>
      </c>
      <c r="P52" s="150" t="str">
        <f t="shared" si="4"/>
        <v>-</v>
      </c>
      <c r="Q52" s="198" t="str">
        <f t="shared" si="5"/>
        <v>-</v>
      </c>
      <c r="R52" s="202" t="str">
        <f t="shared" si="6"/>
        <v>-</v>
      </c>
      <c r="S52" s="198" t="str">
        <f>IF(Q52="-","-",VLOOKUP(B52,'UEstandar-Uexp'!$A$125:$Z$324,11))</f>
        <v>-</v>
      </c>
      <c r="T52" s="190" t="s">
        <v>32</v>
      </c>
      <c r="U52" s="430" t="s">
        <v>32</v>
      </c>
      <c r="V52" s="430"/>
      <c r="W52" s="151"/>
    </row>
    <row r="53" spans="1:23" ht="17.75" customHeight="1">
      <c r="B53" s="166">
        <f>IF(F53="M",COUNTIF($F$36:F53,"M"),"-")</f>
        <v>17</v>
      </c>
      <c r="C53" s="350"/>
      <c r="D53" s="350"/>
      <c r="E53" s="312"/>
      <c r="F53" s="183" t="s">
        <v>10</v>
      </c>
      <c r="G53" s="308"/>
      <c r="H53" s="307"/>
      <c r="I53" s="307"/>
      <c r="J53" s="308"/>
      <c r="K53" s="310"/>
      <c r="L53" s="188" t="str">
        <f t="shared" si="0"/>
        <v>-</v>
      </c>
      <c r="M53" s="196" t="str">
        <f t="shared" si="1"/>
        <v>-</v>
      </c>
      <c r="N53" s="197" t="str">
        <f t="shared" si="2"/>
        <v>-</v>
      </c>
      <c r="O53" s="188" t="str">
        <f t="shared" si="3"/>
        <v>-</v>
      </c>
      <c r="P53" s="150" t="str">
        <f t="shared" si="4"/>
        <v>-</v>
      </c>
      <c r="Q53" s="198" t="str">
        <f t="shared" si="5"/>
        <v>-</v>
      </c>
      <c r="R53" s="202" t="str">
        <f t="shared" si="6"/>
        <v>-</v>
      </c>
      <c r="S53" s="198" t="str">
        <f>IF(Q53="-","-",VLOOKUP(B53,'UEstandar-Uexp'!$A$125:$Z$324,11))</f>
        <v>-</v>
      </c>
      <c r="T53" s="190" t="s">
        <v>32</v>
      </c>
      <c r="U53" s="430" t="s">
        <v>32</v>
      </c>
      <c r="V53" s="430"/>
      <c r="W53" s="151"/>
    </row>
    <row r="54" spans="1:23" ht="17.75" customHeight="1">
      <c r="B54" s="166">
        <f>IF(F54="M",COUNTIF($F$36:F54,"M"),"-")</f>
        <v>18</v>
      </c>
      <c r="C54" s="350"/>
      <c r="D54" s="350"/>
      <c r="E54" s="312"/>
      <c r="F54" s="183" t="s">
        <v>10</v>
      </c>
      <c r="G54" s="308"/>
      <c r="H54" s="307"/>
      <c r="I54" s="307"/>
      <c r="J54" s="308"/>
      <c r="K54" s="311"/>
      <c r="L54" s="188" t="str">
        <f t="shared" si="0"/>
        <v>-</v>
      </c>
      <c r="M54" s="196" t="str">
        <f t="shared" si="1"/>
        <v>-</v>
      </c>
      <c r="N54" s="197" t="str">
        <f t="shared" si="2"/>
        <v>-</v>
      </c>
      <c r="O54" s="188" t="str">
        <f t="shared" si="3"/>
        <v>-</v>
      </c>
      <c r="P54" s="150" t="str">
        <f t="shared" si="4"/>
        <v>-</v>
      </c>
      <c r="Q54" s="198" t="str">
        <f t="shared" si="5"/>
        <v>-</v>
      </c>
      <c r="R54" s="202" t="str">
        <f t="shared" si="6"/>
        <v>-</v>
      </c>
      <c r="S54" s="198" t="str">
        <f>IF(Q54="-","-",VLOOKUP(B54,'UEstandar-Uexp'!$A$125:$Z$324,11))</f>
        <v>-</v>
      </c>
      <c r="T54" s="190" t="s">
        <v>32</v>
      </c>
      <c r="U54" s="430" t="s">
        <v>32</v>
      </c>
      <c r="V54" s="430"/>
      <c r="W54" s="151"/>
    </row>
    <row r="55" spans="1:23" ht="17.75" customHeight="1">
      <c r="B55" s="166">
        <f>IF(F55="M",COUNTIF($F$36:F55,"M"),"-")</f>
        <v>19</v>
      </c>
      <c r="C55" s="350"/>
      <c r="D55" s="350"/>
      <c r="E55" s="312"/>
      <c r="F55" s="183" t="s">
        <v>10</v>
      </c>
      <c r="G55" s="308"/>
      <c r="H55" s="307"/>
      <c r="I55" s="307"/>
      <c r="J55" s="308"/>
      <c r="K55" s="311"/>
      <c r="L55" s="188" t="str">
        <f t="shared" si="0"/>
        <v>-</v>
      </c>
      <c r="M55" s="196" t="str">
        <f t="shared" si="1"/>
        <v>-</v>
      </c>
      <c r="N55" s="197" t="str">
        <f t="shared" si="2"/>
        <v>-</v>
      </c>
      <c r="O55" s="188" t="str">
        <f t="shared" si="3"/>
        <v>-</v>
      </c>
      <c r="P55" s="150" t="str">
        <f t="shared" si="4"/>
        <v>-</v>
      </c>
      <c r="Q55" s="198" t="str">
        <f t="shared" si="5"/>
        <v>-</v>
      </c>
      <c r="R55" s="202" t="str">
        <f t="shared" si="6"/>
        <v>-</v>
      </c>
      <c r="S55" s="198" t="str">
        <f>IF(Q55="-","-",VLOOKUP(B55,'UEstandar-Uexp'!$A$125:$Z$324,11))</f>
        <v>-</v>
      </c>
      <c r="T55" s="190" t="s">
        <v>32</v>
      </c>
      <c r="U55" s="430" t="s">
        <v>32</v>
      </c>
      <c r="V55" s="430"/>
      <c r="W55" s="151"/>
    </row>
    <row r="56" spans="1:23" ht="17.75" customHeight="1">
      <c r="B56" s="166">
        <f>IF(F56="M",COUNTIF($F$36:F56,"M"),"-")</f>
        <v>20</v>
      </c>
      <c r="C56" s="350"/>
      <c r="D56" s="350"/>
      <c r="E56" s="312"/>
      <c r="F56" s="183" t="s">
        <v>10</v>
      </c>
      <c r="G56" s="308"/>
      <c r="H56" s="307"/>
      <c r="I56" s="307"/>
      <c r="J56" s="308"/>
      <c r="K56" s="311"/>
      <c r="L56" s="188" t="str">
        <f t="shared" si="0"/>
        <v>-</v>
      </c>
      <c r="M56" s="196" t="str">
        <f t="shared" si="1"/>
        <v>-</v>
      </c>
      <c r="N56" s="197" t="str">
        <f t="shared" si="2"/>
        <v>-</v>
      </c>
      <c r="O56" s="188" t="str">
        <f t="shared" si="3"/>
        <v>-</v>
      </c>
      <c r="P56" s="150" t="str">
        <f t="shared" si="4"/>
        <v>-</v>
      </c>
      <c r="Q56" s="198" t="str">
        <f t="shared" si="5"/>
        <v>-</v>
      </c>
      <c r="R56" s="202" t="str">
        <f t="shared" si="6"/>
        <v>-</v>
      </c>
      <c r="S56" s="198" t="str">
        <f>IF(Q56="-","-",VLOOKUP(B56,'UEstandar-Uexp'!$A$125:$Z$324,11))</f>
        <v>-</v>
      </c>
      <c r="T56" s="190" t="s">
        <v>32</v>
      </c>
      <c r="U56" s="430" t="s">
        <v>32</v>
      </c>
      <c r="V56" s="430"/>
      <c r="W56" s="151"/>
    </row>
    <row r="57" spans="1:23" ht="17.75" customHeight="1">
      <c r="B57" s="191" t="s">
        <v>32</v>
      </c>
      <c r="C57" s="184">
        <f>Datos!$J$14</f>
        <v>2.5</v>
      </c>
      <c r="D57" s="184" t="s">
        <v>126</v>
      </c>
      <c r="E57" s="185"/>
      <c r="F57" s="192" t="s">
        <v>118</v>
      </c>
      <c r="G57" s="187" t="s">
        <v>32</v>
      </c>
      <c r="H57" s="193" t="s">
        <v>32</v>
      </c>
      <c r="I57" s="193" t="s">
        <v>32</v>
      </c>
      <c r="J57" s="194" t="s">
        <v>32</v>
      </c>
      <c r="K57" s="309"/>
      <c r="L57" s="188" t="str">
        <f t="shared" si="0"/>
        <v>-</v>
      </c>
      <c r="M57" s="190" t="s">
        <v>32</v>
      </c>
      <c r="N57" s="190" t="s">
        <v>32</v>
      </c>
      <c r="O57" s="190" t="s">
        <v>32</v>
      </c>
      <c r="P57" s="150" t="s">
        <v>32</v>
      </c>
      <c r="Q57" s="190" t="s">
        <v>32</v>
      </c>
      <c r="R57" s="189" t="s">
        <v>32</v>
      </c>
      <c r="S57" s="190" t="s">
        <v>32</v>
      </c>
      <c r="T57" s="195" t="str">
        <f>IF(K57="","-",ROUND(100*(L57-C57)/C57,1))</f>
        <v>-</v>
      </c>
      <c r="U57" s="431" t="str">
        <f>IF(K57="","-",IF(AND(T57&lt;=$T$15,T57&gt;=-$T$15),"Cumple","No cumple"))</f>
        <v>-</v>
      </c>
      <c r="V57" s="431"/>
      <c r="W57" s="151"/>
    </row>
    <row r="58" spans="1:23" ht="17.75" customHeight="1">
      <c r="B58" s="191" t="s">
        <v>32</v>
      </c>
      <c r="C58" s="350"/>
      <c r="D58" s="350"/>
      <c r="E58" s="200"/>
      <c r="F58" s="192" t="s">
        <v>117</v>
      </c>
      <c r="G58" s="306"/>
      <c r="H58" s="307"/>
      <c r="I58" s="307"/>
      <c r="J58" s="308"/>
      <c r="K58" s="309"/>
      <c r="L58" s="188" t="str">
        <f t="shared" si="0"/>
        <v>-</v>
      </c>
      <c r="M58" s="196" t="str">
        <f t="shared" ref="M58:M79" si="7">IF(G58="","-",G58+(AA$10*G58))</f>
        <v>-</v>
      </c>
      <c r="N58" s="197" t="str">
        <f t="shared" ref="N58:N79" si="8">IF(H58="","-",IF(H58&lt;=X$19,H58*Z$18+AA$18,H58*Z$19+AA$19))</f>
        <v>-</v>
      </c>
      <c r="O58" s="188" t="str">
        <f t="shared" ref="O58:O79" si="9">IF(I58="","-",$Z$26)</f>
        <v>-</v>
      </c>
      <c r="P58" s="150" t="str">
        <f t="shared" ref="P58:P79" si="10">IF(J58="","-",IF(J58&lt;=AC$19,J58*AE$18+AF$18,J58*AE$19+AF$19))</f>
        <v>-</v>
      </c>
      <c r="Q58" s="198" t="str">
        <f>IF(K58="","-",(L58*(N58/M58)*(O58/P58)))</f>
        <v>-</v>
      </c>
      <c r="R58" s="189" t="s">
        <v>32</v>
      </c>
      <c r="S58" s="190" t="s">
        <v>32</v>
      </c>
      <c r="T58" s="199" t="s">
        <v>32</v>
      </c>
      <c r="U58" s="431" t="str">
        <f>IF(K58="","-",IF(AND(Q58&gt;=$V$17,VALUE(Q58)&lt;=$T$17),"Cumple","No Cumple"))</f>
        <v>-</v>
      </c>
      <c r="V58" s="431"/>
      <c r="W58" s="151"/>
    </row>
    <row r="59" spans="1:23" ht="17.75" customHeight="1">
      <c r="B59" s="191" t="s">
        <v>188</v>
      </c>
      <c r="C59" s="350"/>
      <c r="D59" s="350"/>
      <c r="E59" s="200"/>
      <c r="F59" s="192" t="s">
        <v>11</v>
      </c>
      <c r="G59" s="308"/>
      <c r="H59" s="307"/>
      <c r="I59" s="307"/>
      <c r="J59" s="308"/>
      <c r="K59" s="310"/>
      <c r="L59" s="188" t="str">
        <f t="shared" si="0"/>
        <v>-</v>
      </c>
      <c r="M59" s="196" t="str">
        <f t="shared" si="7"/>
        <v>-</v>
      </c>
      <c r="N59" s="197" t="str">
        <f t="shared" si="8"/>
        <v>-</v>
      </c>
      <c r="O59" s="188" t="str">
        <f t="shared" si="9"/>
        <v>-</v>
      </c>
      <c r="P59" s="150" t="str">
        <f t="shared" si="10"/>
        <v>-</v>
      </c>
      <c r="Q59" s="198" t="str">
        <f t="shared" ref="Q59:Q79" si="11">IF(K59="","-",ROUND((L59*(N59/M59)*(O59/P59)),2))</f>
        <v>-</v>
      </c>
      <c r="R59" s="189" t="s">
        <v>32</v>
      </c>
      <c r="S59" s="190" t="s">
        <v>32</v>
      </c>
      <c r="T59" s="201" t="str">
        <f>IF(C59="","-",ROUND(2*(Q59-Q60)*100/(Q59+Q60),1))</f>
        <v>-</v>
      </c>
      <c r="U59" s="431" t="str">
        <f>IF(K59="","-",IF(AND(T59&lt;=$T$16,T59&gt;=-$T$16),"Cumple","No cumple"))</f>
        <v>-</v>
      </c>
      <c r="V59" s="431"/>
    </row>
    <row r="60" spans="1:23" ht="17.75" customHeight="1">
      <c r="B60" s="166">
        <f>IF(F60="M",COUNTIF($F$36:F60,"M"),"-")</f>
        <v>21</v>
      </c>
      <c r="C60" s="350"/>
      <c r="D60" s="350"/>
      <c r="E60" s="312"/>
      <c r="F60" s="183" t="s">
        <v>10</v>
      </c>
      <c r="G60" s="304"/>
      <c r="H60" s="307"/>
      <c r="I60" s="307"/>
      <c r="J60" s="308"/>
      <c r="K60" s="310"/>
      <c r="L60" s="188" t="str">
        <f t="shared" si="0"/>
        <v>-</v>
      </c>
      <c r="M60" s="196" t="str">
        <f t="shared" si="7"/>
        <v>-</v>
      </c>
      <c r="N60" s="197" t="str">
        <f t="shared" si="8"/>
        <v>-</v>
      </c>
      <c r="O60" s="188" t="str">
        <f t="shared" si="9"/>
        <v>-</v>
      </c>
      <c r="P60" s="150" t="str">
        <f t="shared" si="10"/>
        <v>-</v>
      </c>
      <c r="Q60" s="198" t="str">
        <f t="shared" si="11"/>
        <v>-</v>
      </c>
      <c r="R60" s="202" t="str">
        <f>IF(Q60="","-",IF(Q60&lt;$Q$19,"&lt; LC","-"))</f>
        <v>-</v>
      </c>
      <c r="S60" s="198" t="str">
        <f>IF(Q60="-","-",VLOOKUP(B60,'UEstandar-Uexp'!$A$125:$Z$324,11))</f>
        <v>-</v>
      </c>
      <c r="T60" s="190" t="s">
        <v>32</v>
      </c>
      <c r="U60" s="430" t="s">
        <v>32</v>
      </c>
      <c r="V60" s="430"/>
    </row>
    <row r="61" spans="1:23" ht="17.75" customHeight="1">
      <c r="B61" s="166">
        <f>IF(F61="M",COUNTIF($F$36:F61,"M"),"-")</f>
        <v>22</v>
      </c>
      <c r="C61" s="350"/>
      <c r="D61" s="350"/>
      <c r="E61" s="312"/>
      <c r="F61" s="183" t="s">
        <v>10</v>
      </c>
      <c r="G61" s="308"/>
      <c r="H61" s="307"/>
      <c r="I61" s="307"/>
      <c r="J61" s="308"/>
      <c r="K61" s="311"/>
      <c r="L61" s="188" t="str">
        <f t="shared" si="0"/>
        <v>-</v>
      </c>
      <c r="M61" s="196" t="str">
        <f t="shared" si="7"/>
        <v>-</v>
      </c>
      <c r="N61" s="197" t="str">
        <f t="shared" si="8"/>
        <v>-</v>
      </c>
      <c r="O61" s="188" t="str">
        <f t="shared" si="9"/>
        <v>-</v>
      </c>
      <c r="P61" s="150" t="str">
        <f t="shared" si="10"/>
        <v>-</v>
      </c>
      <c r="Q61" s="198" t="str">
        <f t="shared" si="11"/>
        <v>-</v>
      </c>
      <c r="R61" s="202" t="str">
        <f t="shared" ref="R61:R79" si="12">IF(Q61="","-",IF(Q61&lt;$Q$19,"&lt; LC","-"))</f>
        <v>-</v>
      </c>
      <c r="S61" s="198" t="str">
        <f>IF(Q61="-","-",VLOOKUP(B61,'UEstandar-Uexp'!$A$125:$Z$324,11))</f>
        <v>-</v>
      </c>
      <c r="T61" s="190" t="s">
        <v>32</v>
      </c>
      <c r="U61" s="430" t="s">
        <v>32</v>
      </c>
      <c r="V61" s="430"/>
    </row>
    <row r="62" spans="1:23" ht="17.75" customHeight="1">
      <c r="B62" s="166">
        <f>IF(F62="M",COUNTIF($F$36:F62,"M"),"-")</f>
        <v>23</v>
      </c>
      <c r="C62" s="350"/>
      <c r="D62" s="350"/>
      <c r="E62" s="312"/>
      <c r="F62" s="183" t="s">
        <v>10</v>
      </c>
      <c r="G62" s="308"/>
      <c r="H62" s="307"/>
      <c r="I62" s="307"/>
      <c r="J62" s="308"/>
      <c r="K62" s="311"/>
      <c r="L62" s="188" t="str">
        <f t="shared" si="0"/>
        <v>-</v>
      </c>
      <c r="M62" s="196" t="str">
        <f t="shared" si="7"/>
        <v>-</v>
      </c>
      <c r="N62" s="197" t="str">
        <f t="shared" si="8"/>
        <v>-</v>
      </c>
      <c r="O62" s="188" t="str">
        <f t="shared" si="9"/>
        <v>-</v>
      </c>
      <c r="P62" s="150" t="str">
        <f t="shared" si="10"/>
        <v>-</v>
      </c>
      <c r="Q62" s="198" t="str">
        <f t="shared" si="11"/>
        <v>-</v>
      </c>
      <c r="R62" s="202" t="str">
        <f t="shared" si="12"/>
        <v>-</v>
      </c>
      <c r="S62" s="198" t="str">
        <f>IF(Q62="-","-",VLOOKUP(B62,'UEstandar-Uexp'!$A$125:$Z$324,11))</f>
        <v>-</v>
      </c>
      <c r="T62" s="190" t="s">
        <v>32</v>
      </c>
      <c r="U62" s="430" t="s">
        <v>32</v>
      </c>
      <c r="V62" s="430"/>
    </row>
    <row r="63" spans="1:23" ht="17.75" customHeight="1">
      <c r="B63" s="166">
        <f>IF(F63="M",COUNTIF($F$36:F63,"M"),"-")</f>
        <v>24</v>
      </c>
      <c r="C63" s="350"/>
      <c r="D63" s="350"/>
      <c r="E63" s="312"/>
      <c r="F63" s="183" t="s">
        <v>10</v>
      </c>
      <c r="G63" s="308"/>
      <c r="H63" s="307"/>
      <c r="I63" s="307"/>
      <c r="J63" s="308"/>
      <c r="K63" s="311"/>
      <c r="L63" s="188" t="str">
        <f t="shared" si="0"/>
        <v>-</v>
      </c>
      <c r="M63" s="196" t="str">
        <f t="shared" si="7"/>
        <v>-</v>
      </c>
      <c r="N63" s="197" t="str">
        <f t="shared" si="8"/>
        <v>-</v>
      </c>
      <c r="O63" s="188" t="str">
        <f t="shared" si="9"/>
        <v>-</v>
      </c>
      <c r="P63" s="150" t="str">
        <f t="shared" si="10"/>
        <v>-</v>
      </c>
      <c r="Q63" s="198" t="str">
        <f t="shared" si="11"/>
        <v>-</v>
      </c>
      <c r="R63" s="202" t="str">
        <f t="shared" si="12"/>
        <v>-</v>
      </c>
      <c r="S63" s="198" t="str">
        <f>IF(Q63="-","-",VLOOKUP(B63,'UEstandar-Uexp'!$A$125:$Z$324,11))</f>
        <v>-</v>
      </c>
      <c r="T63" s="190" t="s">
        <v>32</v>
      </c>
      <c r="U63" s="430" t="s">
        <v>32</v>
      </c>
      <c r="V63" s="430"/>
    </row>
    <row r="64" spans="1:23" ht="17.75" customHeight="1">
      <c r="B64" s="166">
        <f>IF(F64="M",COUNTIF($F$36:F64,"M"),"-")</f>
        <v>25</v>
      </c>
      <c r="C64" s="350"/>
      <c r="D64" s="350"/>
      <c r="E64" s="312"/>
      <c r="F64" s="183" t="s">
        <v>10</v>
      </c>
      <c r="G64" s="308"/>
      <c r="H64" s="307"/>
      <c r="I64" s="307"/>
      <c r="J64" s="308"/>
      <c r="K64" s="311"/>
      <c r="L64" s="188" t="str">
        <f t="shared" si="0"/>
        <v>-</v>
      </c>
      <c r="M64" s="196" t="str">
        <f t="shared" si="7"/>
        <v>-</v>
      </c>
      <c r="N64" s="197" t="str">
        <f t="shared" si="8"/>
        <v>-</v>
      </c>
      <c r="O64" s="188" t="str">
        <f t="shared" si="9"/>
        <v>-</v>
      </c>
      <c r="P64" s="150" t="str">
        <f t="shared" si="10"/>
        <v>-</v>
      </c>
      <c r="Q64" s="198" t="str">
        <f t="shared" si="11"/>
        <v>-</v>
      </c>
      <c r="R64" s="202" t="str">
        <f t="shared" si="12"/>
        <v>-</v>
      </c>
      <c r="S64" s="198" t="str">
        <f>IF(Q64="-","-",VLOOKUP(B64,'UEstandar-Uexp'!$A$125:$Z$324,11))</f>
        <v>-</v>
      </c>
      <c r="T64" s="190" t="s">
        <v>32</v>
      </c>
      <c r="U64" s="430" t="s">
        <v>32</v>
      </c>
      <c r="V64" s="430"/>
    </row>
    <row r="65" spans="2:23" ht="17.75" customHeight="1">
      <c r="B65" s="166">
        <f>IF(F65="M",COUNTIF($F$36:F65,"M"),"-")</f>
        <v>26</v>
      </c>
      <c r="C65" s="350"/>
      <c r="D65" s="350"/>
      <c r="E65" s="312"/>
      <c r="F65" s="183" t="s">
        <v>10</v>
      </c>
      <c r="G65" s="308"/>
      <c r="H65" s="307"/>
      <c r="I65" s="307"/>
      <c r="J65" s="308"/>
      <c r="K65" s="311"/>
      <c r="L65" s="188" t="str">
        <f t="shared" si="0"/>
        <v>-</v>
      </c>
      <c r="M65" s="196" t="str">
        <f t="shared" si="7"/>
        <v>-</v>
      </c>
      <c r="N65" s="197" t="str">
        <f t="shared" si="8"/>
        <v>-</v>
      </c>
      <c r="O65" s="188" t="str">
        <f t="shared" si="9"/>
        <v>-</v>
      </c>
      <c r="P65" s="150" t="str">
        <f t="shared" si="10"/>
        <v>-</v>
      </c>
      <c r="Q65" s="198" t="str">
        <f t="shared" si="11"/>
        <v>-</v>
      </c>
      <c r="R65" s="202" t="str">
        <f t="shared" si="12"/>
        <v>-</v>
      </c>
      <c r="S65" s="198" t="str">
        <f>IF(Q65="-","-",VLOOKUP(B65,'UEstandar-Uexp'!$A$125:$Z$324,11))</f>
        <v>-</v>
      </c>
      <c r="T65" s="190" t="s">
        <v>32</v>
      </c>
      <c r="U65" s="430" t="s">
        <v>32</v>
      </c>
      <c r="V65" s="430"/>
    </row>
    <row r="66" spans="2:23" ht="17.75" customHeight="1">
      <c r="B66" s="166">
        <f>IF(F66="M",COUNTIF($F$36:F66,"M"),"-")</f>
        <v>27</v>
      </c>
      <c r="C66" s="350"/>
      <c r="D66" s="350"/>
      <c r="E66" s="312"/>
      <c r="F66" s="183" t="s">
        <v>10</v>
      </c>
      <c r="G66" s="306"/>
      <c r="H66" s="307"/>
      <c r="I66" s="307"/>
      <c r="J66" s="308"/>
      <c r="K66" s="311"/>
      <c r="L66" s="188" t="str">
        <f t="shared" si="0"/>
        <v>-</v>
      </c>
      <c r="M66" s="196" t="str">
        <f t="shared" si="7"/>
        <v>-</v>
      </c>
      <c r="N66" s="197" t="str">
        <f t="shared" si="8"/>
        <v>-</v>
      </c>
      <c r="O66" s="188" t="str">
        <f t="shared" si="9"/>
        <v>-</v>
      </c>
      <c r="P66" s="150" t="str">
        <f t="shared" si="10"/>
        <v>-</v>
      </c>
      <c r="Q66" s="198" t="str">
        <f t="shared" si="11"/>
        <v>-</v>
      </c>
      <c r="R66" s="202" t="str">
        <f t="shared" si="12"/>
        <v>-</v>
      </c>
      <c r="S66" s="198" t="str">
        <f>IF(Q66="-","-",VLOOKUP(B66,'UEstandar-Uexp'!$A$125:$Z$324,11))</f>
        <v>-</v>
      </c>
      <c r="T66" s="190" t="s">
        <v>32</v>
      </c>
      <c r="U66" s="430" t="s">
        <v>32</v>
      </c>
      <c r="V66" s="430"/>
    </row>
    <row r="67" spans="2:23" ht="17.75" customHeight="1">
      <c r="B67" s="166">
        <f>IF(F67="M",COUNTIF($F$36:F67,"M"),"-")</f>
        <v>28</v>
      </c>
      <c r="C67" s="350"/>
      <c r="D67" s="350"/>
      <c r="E67" s="312"/>
      <c r="F67" s="183" t="s">
        <v>10</v>
      </c>
      <c r="G67" s="308"/>
      <c r="H67" s="307"/>
      <c r="I67" s="307"/>
      <c r="J67" s="308"/>
      <c r="K67" s="311"/>
      <c r="L67" s="188" t="str">
        <f t="shared" si="0"/>
        <v>-</v>
      </c>
      <c r="M67" s="196" t="str">
        <f t="shared" si="7"/>
        <v>-</v>
      </c>
      <c r="N67" s="197" t="str">
        <f t="shared" si="8"/>
        <v>-</v>
      </c>
      <c r="O67" s="188" t="str">
        <f t="shared" si="9"/>
        <v>-</v>
      </c>
      <c r="P67" s="150" t="str">
        <f t="shared" si="10"/>
        <v>-</v>
      </c>
      <c r="Q67" s="198" t="str">
        <f t="shared" si="11"/>
        <v>-</v>
      </c>
      <c r="R67" s="202" t="str">
        <f t="shared" si="12"/>
        <v>-</v>
      </c>
      <c r="S67" s="198" t="str">
        <f>IF(Q67="-","-",VLOOKUP(B67,'UEstandar-Uexp'!$A$125:$Z$324,11))</f>
        <v>-</v>
      </c>
      <c r="T67" s="190" t="s">
        <v>32</v>
      </c>
      <c r="U67" s="430" t="s">
        <v>32</v>
      </c>
      <c r="V67" s="430"/>
    </row>
    <row r="68" spans="2:23" ht="17.75" customHeight="1">
      <c r="B68" s="166">
        <f>IF(F68="M",COUNTIF($F$36:F68,"M"),"-")</f>
        <v>29</v>
      </c>
      <c r="C68" s="350"/>
      <c r="D68" s="350"/>
      <c r="E68" s="312"/>
      <c r="F68" s="183" t="s">
        <v>10</v>
      </c>
      <c r="G68" s="304"/>
      <c r="H68" s="307"/>
      <c r="I68" s="307"/>
      <c r="J68" s="308"/>
      <c r="K68" s="311"/>
      <c r="L68" s="188" t="str">
        <f t="shared" si="0"/>
        <v>-</v>
      </c>
      <c r="M68" s="196" t="str">
        <f t="shared" si="7"/>
        <v>-</v>
      </c>
      <c r="N68" s="197" t="str">
        <f t="shared" si="8"/>
        <v>-</v>
      </c>
      <c r="O68" s="188" t="str">
        <f t="shared" si="9"/>
        <v>-</v>
      </c>
      <c r="P68" s="150" t="str">
        <f t="shared" si="10"/>
        <v>-</v>
      </c>
      <c r="Q68" s="198" t="str">
        <f t="shared" si="11"/>
        <v>-</v>
      </c>
      <c r="R68" s="202" t="str">
        <f t="shared" si="12"/>
        <v>-</v>
      </c>
      <c r="S68" s="198" t="str">
        <f>IF(Q68="-","-",VLOOKUP(B68,'UEstandar-Uexp'!$A$125:$Z$324,11))</f>
        <v>-</v>
      </c>
      <c r="T68" s="190" t="s">
        <v>32</v>
      </c>
      <c r="U68" s="430" t="s">
        <v>32</v>
      </c>
      <c r="V68" s="430"/>
    </row>
    <row r="69" spans="2:23" ht="17.75" customHeight="1">
      <c r="B69" s="166">
        <f>IF(F69="M",COUNTIF($F$36:F69,"M"),"-")</f>
        <v>30</v>
      </c>
      <c r="C69" s="350"/>
      <c r="D69" s="350"/>
      <c r="E69" s="312"/>
      <c r="F69" s="183" t="s">
        <v>10</v>
      </c>
      <c r="G69" s="308"/>
      <c r="H69" s="307"/>
      <c r="I69" s="307"/>
      <c r="J69" s="308"/>
      <c r="K69" s="309"/>
      <c r="L69" s="188" t="str">
        <f t="shared" si="0"/>
        <v>-</v>
      </c>
      <c r="M69" s="196" t="str">
        <f t="shared" si="7"/>
        <v>-</v>
      </c>
      <c r="N69" s="197" t="str">
        <f t="shared" si="8"/>
        <v>-</v>
      </c>
      <c r="O69" s="188" t="str">
        <f t="shared" si="9"/>
        <v>-</v>
      </c>
      <c r="P69" s="150" t="str">
        <f t="shared" si="10"/>
        <v>-</v>
      </c>
      <c r="Q69" s="198" t="str">
        <f t="shared" si="11"/>
        <v>-</v>
      </c>
      <c r="R69" s="202" t="str">
        <f t="shared" si="12"/>
        <v>-</v>
      </c>
      <c r="S69" s="198" t="str">
        <f>IF(Q69="-","-",VLOOKUP(B69,'UEstandar-Uexp'!$A$125:$Z$324,11))</f>
        <v>-</v>
      </c>
      <c r="T69" s="190" t="s">
        <v>32</v>
      </c>
      <c r="U69" s="430" t="s">
        <v>32</v>
      </c>
      <c r="V69" s="430"/>
    </row>
    <row r="70" spans="2:23" ht="17.75" customHeight="1">
      <c r="B70" s="166">
        <f>IF(F70="M",COUNTIF($F$36:F70,"M"),"-")</f>
        <v>31</v>
      </c>
      <c r="C70" s="350"/>
      <c r="D70" s="350"/>
      <c r="E70" s="312"/>
      <c r="F70" s="183" t="s">
        <v>10</v>
      </c>
      <c r="G70" s="308"/>
      <c r="H70" s="307"/>
      <c r="I70" s="307"/>
      <c r="J70" s="308"/>
      <c r="K70" s="309"/>
      <c r="L70" s="188" t="str">
        <f t="shared" si="0"/>
        <v>-</v>
      </c>
      <c r="M70" s="196" t="str">
        <f t="shared" si="7"/>
        <v>-</v>
      </c>
      <c r="N70" s="197" t="str">
        <f t="shared" si="8"/>
        <v>-</v>
      </c>
      <c r="O70" s="188" t="str">
        <f t="shared" si="9"/>
        <v>-</v>
      </c>
      <c r="P70" s="150" t="str">
        <f t="shared" si="10"/>
        <v>-</v>
      </c>
      <c r="Q70" s="198" t="str">
        <f t="shared" si="11"/>
        <v>-</v>
      </c>
      <c r="R70" s="202" t="str">
        <f t="shared" si="12"/>
        <v>-</v>
      </c>
      <c r="S70" s="198" t="str">
        <f>IF(Q70="-","-",VLOOKUP(B70,'UEstandar-Uexp'!$A$125:$Z$324,11))</f>
        <v>-</v>
      </c>
      <c r="T70" s="190" t="s">
        <v>32</v>
      </c>
      <c r="U70" s="430" t="s">
        <v>32</v>
      </c>
      <c r="V70" s="430"/>
    </row>
    <row r="71" spans="2:23" ht="17.75" customHeight="1">
      <c r="B71" s="166">
        <f>IF(F71="M",COUNTIF($F$36:F71,"M"),"-")</f>
        <v>32</v>
      </c>
      <c r="C71" s="350"/>
      <c r="D71" s="350"/>
      <c r="E71" s="312"/>
      <c r="F71" s="183" t="s">
        <v>10</v>
      </c>
      <c r="G71" s="308"/>
      <c r="H71" s="307"/>
      <c r="I71" s="307"/>
      <c r="J71" s="308"/>
      <c r="K71" s="309"/>
      <c r="L71" s="188" t="str">
        <f t="shared" si="0"/>
        <v>-</v>
      </c>
      <c r="M71" s="196" t="str">
        <f t="shared" si="7"/>
        <v>-</v>
      </c>
      <c r="N71" s="197" t="str">
        <f t="shared" si="8"/>
        <v>-</v>
      </c>
      <c r="O71" s="188" t="str">
        <f t="shared" si="9"/>
        <v>-</v>
      </c>
      <c r="P71" s="150" t="str">
        <f t="shared" si="10"/>
        <v>-</v>
      </c>
      <c r="Q71" s="198" t="str">
        <f t="shared" si="11"/>
        <v>-</v>
      </c>
      <c r="R71" s="202" t="str">
        <f t="shared" si="12"/>
        <v>-</v>
      </c>
      <c r="S71" s="198" t="str">
        <f>IF(Q71="-","-",VLOOKUP(B71,'UEstandar-Uexp'!$A$125:$Z$324,11))</f>
        <v>-</v>
      </c>
      <c r="T71" s="190" t="s">
        <v>32</v>
      </c>
      <c r="U71" s="430" t="s">
        <v>32</v>
      </c>
      <c r="V71" s="430"/>
    </row>
    <row r="72" spans="2:23" ht="17.75" customHeight="1">
      <c r="B72" s="166">
        <f>IF(F72="M",COUNTIF($F$36:F72,"M"),"-")</f>
        <v>33</v>
      </c>
      <c r="C72" s="350"/>
      <c r="D72" s="350"/>
      <c r="E72" s="312"/>
      <c r="F72" s="183" t="s">
        <v>10</v>
      </c>
      <c r="G72" s="306"/>
      <c r="H72" s="307"/>
      <c r="I72" s="307"/>
      <c r="J72" s="308"/>
      <c r="K72" s="309"/>
      <c r="L72" s="188" t="str">
        <f t="shared" si="0"/>
        <v>-</v>
      </c>
      <c r="M72" s="196" t="str">
        <f t="shared" si="7"/>
        <v>-</v>
      </c>
      <c r="N72" s="197" t="str">
        <f t="shared" si="8"/>
        <v>-</v>
      </c>
      <c r="O72" s="188" t="str">
        <f t="shared" si="9"/>
        <v>-</v>
      </c>
      <c r="P72" s="150" t="str">
        <f t="shared" si="10"/>
        <v>-</v>
      </c>
      <c r="Q72" s="198" t="str">
        <f t="shared" si="11"/>
        <v>-</v>
      </c>
      <c r="R72" s="202" t="str">
        <f t="shared" si="12"/>
        <v>-</v>
      </c>
      <c r="S72" s="198" t="str">
        <f>IF(Q72="-","-",VLOOKUP(B72,'UEstandar-Uexp'!$A$125:$Z$324,11))</f>
        <v>-</v>
      </c>
      <c r="T72" s="190" t="s">
        <v>32</v>
      </c>
      <c r="U72" s="430" t="s">
        <v>32</v>
      </c>
      <c r="V72" s="430"/>
    </row>
    <row r="73" spans="2:23" ht="17.75" customHeight="1">
      <c r="B73" s="166">
        <f>IF(F73="M",COUNTIF($F$36:F73,"M"),"-")</f>
        <v>34</v>
      </c>
      <c r="C73" s="350"/>
      <c r="D73" s="350"/>
      <c r="E73" s="312"/>
      <c r="F73" s="183" t="s">
        <v>10</v>
      </c>
      <c r="G73" s="308"/>
      <c r="H73" s="307"/>
      <c r="I73" s="307"/>
      <c r="J73" s="308"/>
      <c r="K73" s="309"/>
      <c r="L73" s="188" t="str">
        <f t="shared" si="0"/>
        <v>-</v>
      </c>
      <c r="M73" s="196" t="str">
        <f t="shared" si="7"/>
        <v>-</v>
      </c>
      <c r="N73" s="197" t="str">
        <f t="shared" si="8"/>
        <v>-</v>
      </c>
      <c r="O73" s="188" t="str">
        <f t="shared" si="9"/>
        <v>-</v>
      </c>
      <c r="P73" s="150" t="str">
        <f t="shared" si="10"/>
        <v>-</v>
      </c>
      <c r="Q73" s="198" t="str">
        <f t="shared" si="11"/>
        <v>-</v>
      </c>
      <c r="R73" s="202" t="str">
        <f t="shared" si="12"/>
        <v>-</v>
      </c>
      <c r="S73" s="198" t="str">
        <f>IF(Q73="-","-",VLOOKUP(B73,'UEstandar-Uexp'!$A$125:$Z$324,11))</f>
        <v>-</v>
      </c>
      <c r="T73" s="190" t="s">
        <v>32</v>
      </c>
      <c r="U73" s="430" t="s">
        <v>32</v>
      </c>
      <c r="V73" s="430"/>
    </row>
    <row r="74" spans="2:23" ht="17.75" customHeight="1">
      <c r="B74" s="166">
        <f>IF(F74="M",COUNTIF($F$36:F74,"M"),"-")</f>
        <v>35</v>
      </c>
      <c r="C74" s="350"/>
      <c r="D74" s="350"/>
      <c r="E74" s="312"/>
      <c r="F74" s="183" t="s">
        <v>10</v>
      </c>
      <c r="G74" s="304"/>
      <c r="H74" s="307"/>
      <c r="I74" s="307"/>
      <c r="J74" s="308"/>
      <c r="K74" s="309"/>
      <c r="L74" s="188" t="str">
        <f t="shared" si="0"/>
        <v>-</v>
      </c>
      <c r="M74" s="196" t="str">
        <f t="shared" si="7"/>
        <v>-</v>
      </c>
      <c r="N74" s="197" t="str">
        <f t="shared" si="8"/>
        <v>-</v>
      </c>
      <c r="O74" s="188" t="str">
        <f t="shared" si="9"/>
        <v>-</v>
      </c>
      <c r="P74" s="150" t="str">
        <f t="shared" si="10"/>
        <v>-</v>
      </c>
      <c r="Q74" s="198" t="str">
        <f t="shared" si="11"/>
        <v>-</v>
      </c>
      <c r="R74" s="202" t="str">
        <f t="shared" si="12"/>
        <v>-</v>
      </c>
      <c r="S74" s="198" t="str">
        <f>IF(Q74="-","-",VLOOKUP(B74,'UEstandar-Uexp'!$A$125:$Z$324,11))</f>
        <v>-</v>
      </c>
      <c r="T74" s="190" t="s">
        <v>32</v>
      </c>
      <c r="U74" s="430" t="s">
        <v>32</v>
      </c>
      <c r="V74" s="430"/>
    </row>
    <row r="75" spans="2:23" ht="17.75" customHeight="1">
      <c r="B75" s="166">
        <f>IF(F75="M",COUNTIF($F$36:F75,"M"),"-")</f>
        <v>36</v>
      </c>
      <c r="C75" s="350"/>
      <c r="D75" s="350"/>
      <c r="E75" s="312"/>
      <c r="F75" s="183" t="s">
        <v>10</v>
      </c>
      <c r="G75" s="308"/>
      <c r="H75" s="307"/>
      <c r="I75" s="307"/>
      <c r="J75" s="308"/>
      <c r="K75" s="310"/>
      <c r="L75" s="188" t="str">
        <f t="shared" si="0"/>
        <v>-</v>
      </c>
      <c r="M75" s="196" t="str">
        <f t="shared" si="7"/>
        <v>-</v>
      </c>
      <c r="N75" s="197" t="str">
        <f t="shared" si="8"/>
        <v>-</v>
      </c>
      <c r="O75" s="188" t="str">
        <f t="shared" si="9"/>
        <v>-</v>
      </c>
      <c r="P75" s="150" t="str">
        <f t="shared" si="10"/>
        <v>-</v>
      </c>
      <c r="Q75" s="198" t="str">
        <f t="shared" si="11"/>
        <v>-</v>
      </c>
      <c r="R75" s="202" t="str">
        <f t="shared" si="12"/>
        <v>-</v>
      </c>
      <c r="S75" s="198" t="str">
        <f>IF(Q75="-","-",VLOOKUP(B75,'UEstandar-Uexp'!$A$125:$Z$324,11))</f>
        <v>-</v>
      </c>
      <c r="T75" s="190" t="s">
        <v>32</v>
      </c>
      <c r="U75" s="430" t="s">
        <v>32</v>
      </c>
      <c r="V75" s="430"/>
    </row>
    <row r="76" spans="2:23" ht="17.75" customHeight="1">
      <c r="B76" s="166">
        <f>IF(F76="M",COUNTIF($F$36:F76,"M"),"-")</f>
        <v>37</v>
      </c>
      <c r="C76" s="350"/>
      <c r="D76" s="350"/>
      <c r="E76" s="312"/>
      <c r="F76" s="183" t="s">
        <v>10</v>
      </c>
      <c r="G76" s="308"/>
      <c r="H76" s="307"/>
      <c r="I76" s="307"/>
      <c r="J76" s="308"/>
      <c r="K76" s="310"/>
      <c r="L76" s="188" t="str">
        <f t="shared" si="0"/>
        <v>-</v>
      </c>
      <c r="M76" s="196" t="str">
        <f t="shared" si="7"/>
        <v>-</v>
      </c>
      <c r="N76" s="197" t="str">
        <f t="shared" si="8"/>
        <v>-</v>
      </c>
      <c r="O76" s="188" t="str">
        <f t="shared" si="9"/>
        <v>-</v>
      </c>
      <c r="P76" s="150" t="str">
        <f t="shared" si="10"/>
        <v>-</v>
      </c>
      <c r="Q76" s="198" t="str">
        <f t="shared" si="11"/>
        <v>-</v>
      </c>
      <c r="R76" s="202" t="str">
        <f t="shared" si="12"/>
        <v>-</v>
      </c>
      <c r="S76" s="198" t="str">
        <f>IF(Q76="-","-",VLOOKUP(B76,'UEstandar-Uexp'!$A$125:$Z$324,11))</f>
        <v>-</v>
      </c>
      <c r="T76" s="190" t="s">
        <v>32</v>
      </c>
      <c r="U76" s="430" t="s">
        <v>32</v>
      </c>
      <c r="V76" s="430"/>
    </row>
    <row r="77" spans="2:23" ht="17.75" customHeight="1">
      <c r="B77" s="166">
        <f>IF(F77="M",COUNTIF($F$36:F77,"M"),"-")</f>
        <v>38</v>
      </c>
      <c r="C77" s="350"/>
      <c r="D77" s="350"/>
      <c r="E77" s="312"/>
      <c r="F77" s="183" t="s">
        <v>10</v>
      </c>
      <c r="G77" s="308"/>
      <c r="H77" s="307"/>
      <c r="I77" s="307"/>
      <c r="J77" s="308"/>
      <c r="K77" s="311"/>
      <c r="L77" s="188" t="str">
        <f t="shared" si="0"/>
        <v>-</v>
      </c>
      <c r="M77" s="196" t="str">
        <f t="shared" si="7"/>
        <v>-</v>
      </c>
      <c r="N77" s="197" t="str">
        <f t="shared" si="8"/>
        <v>-</v>
      </c>
      <c r="O77" s="188" t="str">
        <f t="shared" si="9"/>
        <v>-</v>
      </c>
      <c r="P77" s="150" t="str">
        <f t="shared" si="10"/>
        <v>-</v>
      </c>
      <c r="Q77" s="198" t="str">
        <f t="shared" si="11"/>
        <v>-</v>
      </c>
      <c r="R77" s="202" t="str">
        <f t="shared" si="12"/>
        <v>-</v>
      </c>
      <c r="S77" s="198" t="str">
        <f>IF(Q77="-","-",VLOOKUP(B77,'UEstandar-Uexp'!$A$125:$Z$324,11))</f>
        <v>-</v>
      </c>
      <c r="T77" s="190" t="s">
        <v>32</v>
      </c>
      <c r="U77" s="430" t="s">
        <v>32</v>
      </c>
      <c r="V77" s="430"/>
    </row>
    <row r="78" spans="2:23" ht="17.75" customHeight="1">
      <c r="B78" s="166">
        <f>IF(F78="M",COUNTIF($F$36:F78,"M"),"-")</f>
        <v>39</v>
      </c>
      <c r="C78" s="350"/>
      <c r="D78" s="350"/>
      <c r="E78" s="312"/>
      <c r="F78" s="183" t="s">
        <v>10</v>
      </c>
      <c r="G78" s="308"/>
      <c r="H78" s="307"/>
      <c r="I78" s="307"/>
      <c r="J78" s="308"/>
      <c r="K78" s="311"/>
      <c r="L78" s="188" t="str">
        <f t="shared" si="0"/>
        <v>-</v>
      </c>
      <c r="M78" s="196" t="str">
        <f t="shared" si="7"/>
        <v>-</v>
      </c>
      <c r="N78" s="197" t="str">
        <f t="shared" si="8"/>
        <v>-</v>
      </c>
      <c r="O78" s="188" t="str">
        <f t="shared" si="9"/>
        <v>-</v>
      </c>
      <c r="P78" s="150" t="str">
        <f t="shared" si="10"/>
        <v>-</v>
      </c>
      <c r="Q78" s="198" t="str">
        <f t="shared" si="11"/>
        <v>-</v>
      </c>
      <c r="R78" s="202" t="str">
        <f t="shared" si="12"/>
        <v>-</v>
      </c>
      <c r="S78" s="198" t="str">
        <f>IF(Q78="-","-",VLOOKUP(B78,'UEstandar-Uexp'!$A$125:$Z$324,11))</f>
        <v>-</v>
      </c>
      <c r="T78" s="190" t="s">
        <v>32</v>
      </c>
      <c r="U78" s="430" t="s">
        <v>32</v>
      </c>
      <c r="V78" s="430"/>
    </row>
    <row r="79" spans="2:23" ht="17.75" customHeight="1">
      <c r="B79" s="166">
        <f>IF(F79="M",COUNTIF($F$36:F79,"M"),"-")</f>
        <v>40</v>
      </c>
      <c r="C79" s="350"/>
      <c r="D79" s="350"/>
      <c r="E79" s="312"/>
      <c r="F79" s="183" t="s">
        <v>10</v>
      </c>
      <c r="G79" s="308"/>
      <c r="H79" s="307"/>
      <c r="I79" s="307"/>
      <c r="J79" s="308"/>
      <c r="K79" s="311"/>
      <c r="L79" s="188" t="str">
        <f t="shared" si="0"/>
        <v>-</v>
      </c>
      <c r="M79" s="196" t="str">
        <f t="shared" si="7"/>
        <v>-</v>
      </c>
      <c r="N79" s="197" t="str">
        <f t="shared" si="8"/>
        <v>-</v>
      </c>
      <c r="O79" s="188" t="str">
        <f t="shared" si="9"/>
        <v>-</v>
      </c>
      <c r="P79" s="150" t="str">
        <f t="shared" si="10"/>
        <v>-</v>
      </c>
      <c r="Q79" s="198" t="str">
        <f t="shared" si="11"/>
        <v>-</v>
      </c>
      <c r="R79" s="202" t="str">
        <f t="shared" si="12"/>
        <v>-</v>
      </c>
      <c r="S79" s="198" t="str">
        <f>IF(Q79="-","-",VLOOKUP(B79,'UEstandar-Uexp'!$A$125:$Z$324,11))</f>
        <v>-</v>
      </c>
      <c r="T79" s="190" t="s">
        <v>32</v>
      </c>
      <c r="U79" s="430" t="s">
        <v>32</v>
      </c>
      <c r="V79" s="430"/>
      <c r="W79" s="151"/>
    </row>
    <row r="80" spans="2:23" ht="17.75" customHeight="1">
      <c r="B80" s="191" t="s">
        <v>32</v>
      </c>
      <c r="C80" s="184">
        <f>Datos!$J$14</f>
        <v>2.5</v>
      </c>
      <c r="D80" s="184" t="s">
        <v>126</v>
      </c>
      <c r="E80" s="185"/>
      <c r="F80" s="192" t="s">
        <v>118</v>
      </c>
      <c r="G80" s="187" t="s">
        <v>32</v>
      </c>
      <c r="H80" s="193" t="s">
        <v>32</v>
      </c>
      <c r="I80" s="193" t="s">
        <v>32</v>
      </c>
      <c r="J80" s="194" t="s">
        <v>32</v>
      </c>
      <c r="K80" s="309"/>
      <c r="L80" s="188" t="str">
        <f t="shared" si="0"/>
        <v>-</v>
      </c>
      <c r="M80" s="190" t="s">
        <v>32</v>
      </c>
      <c r="N80" s="190" t="s">
        <v>32</v>
      </c>
      <c r="O80" s="190" t="s">
        <v>32</v>
      </c>
      <c r="P80" s="150" t="s">
        <v>32</v>
      </c>
      <c r="Q80" s="190" t="s">
        <v>32</v>
      </c>
      <c r="R80" s="189" t="s">
        <v>32</v>
      </c>
      <c r="S80" s="190" t="s">
        <v>32</v>
      </c>
      <c r="T80" s="195" t="str">
        <f>IF(K80="","-",ROUND(100*(L80-C80)/C80,1))</f>
        <v>-</v>
      </c>
      <c r="U80" s="431" t="str">
        <f>IF(K80="","-",IF(AND(T80&lt;=$T$15,T80&gt;=-$T$15),"Cumple","No cumple"))</f>
        <v>-</v>
      </c>
      <c r="V80" s="431"/>
      <c r="W80" s="151"/>
    </row>
    <row r="81" spans="2:23" ht="17.75" customHeight="1">
      <c r="B81" s="191" t="s">
        <v>32</v>
      </c>
      <c r="C81" s="350"/>
      <c r="D81" s="350"/>
      <c r="E81" s="200"/>
      <c r="F81" s="192" t="s">
        <v>117</v>
      </c>
      <c r="G81" s="306"/>
      <c r="H81" s="307"/>
      <c r="I81" s="307"/>
      <c r="J81" s="308"/>
      <c r="K81" s="309"/>
      <c r="L81" s="188" t="str">
        <f t="shared" si="0"/>
        <v>-</v>
      </c>
      <c r="M81" s="196" t="str">
        <f t="shared" ref="M81:M102" si="13">IF(G81="","-",G81+(AA$10*G81))</f>
        <v>-</v>
      </c>
      <c r="N81" s="197" t="str">
        <f t="shared" ref="N81:N102" si="14">IF(H81="","-",IF(H81&lt;=X$19,H81*Z$18+AA$18,H81*Z$19+AA$19))</f>
        <v>-</v>
      </c>
      <c r="O81" s="188" t="str">
        <f t="shared" ref="O81:O102" si="15">IF(I81="","-",$Z$26)</f>
        <v>-</v>
      </c>
      <c r="P81" s="150" t="str">
        <f t="shared" ref="P81:P102" si="16">IF(J81="","-",IF(J81&lt;=AC$19,J81*AE$18+AF$18,J81*AE$19+AF$19))</f>
        <v>-</v>
      </c>
      <c r="Q81" s="198" t="str">
        <f>IF(K81="","-",(L81*(N81/M81)*(O81/P81)))</f>
        <v>-</v>
      </c>
      <c r="R81" s="189" t="s">
        <v>32</v>
      </c>
      <c r="S81" s="190" t="s">
        <v>32</v>
      </c>
      <c r="T81" s="199" t="s">
        <v>32</v>
      </c>
      <c r="U81" s="431" t="str">
        <f>IF(K81="","-",IF(AND(Q81&gt;=$V$17,VALUE(Q81)&lt;=$T$17),"Cumple","No Cumple"))</f>
        <v>-</v>
      </c>
      <c r="V81" s="431"/>
      <c r="W81" s="151"/>
    </row>
    <row r="82" spans="2:23" ht="17.75" customHeight="1">
      <c r="B82" s="191" t="s">
        <v>189</v>
      </c>
      <c r="C82" s="350"/>
      <c r="D82" s="350"/>
      <c r="E82" s="200"/>
      <c r="F82" s="192" t="s">
        <v>11</v>
      </c>
      <c r="G82" s="308"/>
      <c r="H82" s="307"/>
      <c r="I82" s="307"/>
      <c r="J82" s="308"/>
      <c r="K82" s="310"/>
      <c r="L82" s="188" t="str">
        <f t="shared" si="0"/>
        <v>-</v>
      </c>
      <c r="M82" s="196" t="str">
        <f t="shared" si="13"/>
        <v>-</v>
      </c>
      <c r="N82" s="197" t="str">
        <f t="shared" si="14"/>
        <v>-</v>
      </c>
      <c r="O82" s="188" t="str">
        <f t="shared" si="15"/>
        <v>-</v>
      </c>
      <c r="P82" s="150" t="str">
        <f t="shared" si="16"/>
        <v>-</v>
      </c>
      <c r="Q82" s="198" t="str">
        <f t="shared" ref="Q82:Q102" si="17">IF(K82="","-",ROUND((L82*(N82/M82)*(O82/P82)),2))</f>
        <v>-</v>
      </c>
      <c r="R82" s="189" t="s">
        <v>32</v>
      </c>
      <c r="S82" s="190" t="s">
        <v>32</v>
      </c>
      <c r="T82" s="201" t="str">
        <f>IF(C82="","-",ROUND(2*(Q82-Q83)*100/(Q82+Q83),1))</f>
        <v>-</v>
      </c>
      <c r="U82" s="431" t="str">
        <f>IF(K82="","-",IF(AND(T82&lt;=$T$16,T82&gt;=-$T$16),"Cumple","No cumple"))</f>
        <v>-</v>
      </c>
      <c r="V82" s="431"/>
    </row>
    <row r="83" spans="2:23" ht="17.75" customHeight="1">
      <c r="B83" s="166">
        <f>IF(F83="M",COUNTIF($F$36:F83,"M"),"-")</f>
        <v>41</v>
      </c>
      <c r="C83" s="350"/>
      <c r="D83" s="350"/>
      <c r="E83" s="312"/>
      <c r="F83" s="183" t="s">
        <v>10</v>
      </c>
      <c r="G83" s="304"/>
      <c r="H83" s="307"/>
      <c r="I83" s="307"/>
      <c r="J83" s="308"/>
      <c r="K83" s="310"/>
      <c r="L83" s="188" t="str">
        <f t="shared" si="0"/>
        <v>-</v>
      </c>
      <c r="M83" s="196" t="str">
        <f t="shared" si="13"/>
        <v>-</v>
      </c>
      <c r="N83" s="197" t="str">
        <f t="shared" si="14"/>
        <v>-</v>
      </c>
      <c r="O83" s="188" t="str">
        <f t="shared" si="15"/>
        <v>-</v>
      </c>
      <c r="P83" s="150" t="str">
        <f t="shared" si="16"/>
        <v>-</v>
      </c>
      <c r="Q83" s="198" t="str">
        <f t="shared" si="17"/>
        <v>-</v>
      </c>
      <c r="R83" s="202" t="str">
        <f>IF(Q83="","-",IF(Q83&lt;$Q$19,"&lt; LC","-"))</f>
        <v>-</v>
      </c>
      <c r="S83" s="198" t="str">
        <f>IF(Q83="-","-",VLOOKUP(B83,'UEstandar-Uexp'!$A$125:$Z$324,11))</f>
        <v>-</v>
      </c>
      <c r="T83" s="190" t="s">
        <v>32</v>
      </c>
      <c r="U83" s="430" t="s">
        <v>32</v>
      </c>
      <c r="V83" s="430"/>
    </row>
    <row r="84" spans="2:23" ht="17.75" customHeight="1">
      <c r="B84" s="166">
        <f>IF(F84="M",COUNTIF($F$36:F84,"M"),"-")</f>
        <v>42</v>
      </c>
      <c r="C84" s="350"/>
      <c r="D84" s="350"/>
      <c r="E84" s="312"/>
      <c r="F84" s="183" t="s">
        <v>10</v>
      </c>
      <c r="G84" s="308"/>
      <c r="H84" s="307"/>
      <c r="I84" s="307"/>
      <c r="J84" s="308"/>
      <c r="K84" s="311"/>
      <c r="L84" s="188" t="str">
        <f t="shared" si="0"/>
        <v>-</v>
      </c>
      <c r="M84" s="196" t="str">
        <f t="shared" si="13"/>
        <v>-</v>
      </c>
      <c r="N84" s="197" t="str">
        <f t="shared" si="14"/>
        <v>-</v>
      </c>
      <c r="O84" s="188" t="str">
        <f t="shared" si="15"/>
        <v>-</v>
      </c>
      <c r="P84" s="150" t="str">
        <f t="shared" si="16"/>
        <v>-</v>
      </c>
      <c r="Q84" s="198" t="str">
        <f t="shared" si="17"/>
        <v>-</v>
      </c>
      <c r="R84" s="202" t="str">
        <f t="shared" ref="R84:R102" si="18">IF(Q84="","-",IF(Q84&lt;$Q$19,"&lt; LC","-"))</f>
        <v>-</v>
      </c>
      <c r="S84" s="198" t="str">
        <f>IF(Q84="-","-",VLOOKUP(B84,'UEstandar-Uexp'!$A$125:$Z$324,11))</f>
        <v>-</v>
      </c>
      <c r="T84" s="190" t="s">
        <v>32</v>
      </c>
      <c r="U84" s="430" t="s">
        <v>32</v>
      </c>
      <c r="V84" s="430"/>
    </row>
    <row r="85" spans="2:23" ht="17.75" customHeight="1">
      <c r="B85" s="166">
        <f>IF(F85="M",COUNTIF($F$36:F85,"M"),"-")</f>
        <v>43</v>
      </c>
      <c r="C85" s="350"/>
      <c r="D85" s="350"/>
      <c r="E85" s="312"/>
      <c r="F85" s="183" t="s">
        <v>10</v>
      </c>
      <c r="G85" s="308"/>
      <c r="H85" s="307"/>
      <c r="I85" s="307"/>
      <c r="J85" s="308"/>
      <c r="K85" s="311"/>
      <c r="L85" s="188" t="str">
        <f t="shared" si="0"/>
        <v>-</v>
      </c>
      <c r="M85" s="196" t="str">
        <f t="shared" si="13"/>
        <v>-</v>
      </c>
      <c r="N85" s="197" t="str">
        <f t="shared" si="14"/>
        <v>-</v>
      </c>
      <c r="O85" s="188" t="str">
        <f t="shared" si="15"/>
        <v>-</v>
      </c>
      <c r="P85" s="150" t="str">
        <f t="shared" si="16"/>
        <v>-</v>
      </c>
      <c r="Q85" s="198" t="str">
        <f t="shared" si="17"/>
        <v>-</v>
      </c>
      <c r="R85" s="202" t="str">
        <f t="shared" si="18"/>
        <v>-</v>
      </c>
      <c r="S85" s="198" t="str">
        <f>IF(Q85="-","-",VLOOKUP(B85,'UEstandar-Uexp'!$A$125:$Z$324,11))</f>
        <v>-</v>
      </c>
      <c r="T85" s="190" t="s">
        <v>32</v>
      </c>
      <c r="U85" s="430" t="s">
        <v>32</v>
      </c>
      <c r="V85" s="430"/>
    </row>
    <row r="86" spans="2:23" ht="17.75" customHeight="1">
      <c r="B86" s="166">
        <f>IF(F86="M",COUNTIF($F$36:F86,"M"),"-")</f>
        <v>44</v>
      </c>
      <c r="C86" s="350"/>
      <c r="D86" s="350"/>
      <c r="E86" s="312"/>
      <c r="F86" s="183" t="s">
        <v>10</v>
      </c>
      <c r="G86" s="308"/>
      <c r="H86" s="307"/>
      <c r="I86" s="307"/>
      <c r="J86" s="308"/>
      <c r="K86" s="311"/>
      <c r="L86" s="188" t="str">
        <f t="shared" si="0"/>
        <v>-</v>
      </c>
      <c r="M86" s="196" t="str">
        <f t="shared" si="13"/>
        <v>-</v>
      </c>
      <c r="N86" s="197" t="str">
        <f t="shared" si="14"/>
        <v>-</v>
      </c>
      <c r="O86" s="188" t="str">
        <f t="shared" si="15"/>
        <v>-</v>
      </c>
      <c r="P86" s="150" t="str">
        <f t="shared" si="16"/>
        <v>-</v>
      </c>
      <c r="Q86" s="198" t="str">
        <f t="shared" si="17"/>
        <v>-</v>
      </c>
      <c r="R86" s="202" t="str">
        <f t="shared" si="18"/>
        <v>-</v>
      </c>
      <c r="S86" s="198" t="str">
        <f>IF(Q86="-","-",VLOOKUP(B86,'UEstandar-Uexp'!$A$125:$Z$324,11))</f>
        <v>-</v>
      </c>
      <c r="T86" s="190" t="s">
        <v>32</v>
      </c>
      <c r="U86" s="430" t="s">
        <v>32</v>
      </c>
      <c r="V86" s="430"/>
    </row>
    <row r="87" spans="2:23" ht="17.75" customHeight="1">
      <c r="B87" s="166">
        <f>IF(F87="M",COUNTIF($F$36:F87,"M"),"-")</f>
        <v>45</v>
      </c>
      <c r="C87" s="350"/>
      <c r="D87" s="350"/>
      <c r="E87" s="312"/>
      <c r="F87" s="183" t="s">
        <v>10</v>
      </c>
      <c r="G87" s="308"/>
      <c r="H87" s="307"/>
      <c r="I87" s="307"/>
      <c r="J87" s="308"/>
      <c r="K87" s="311"/>
      <c r="L87" s="188" t="str">
        <f t="shared" si="0"/>
        <v>-</v>
      </c>
      <c r="M87" s="196" t="str">
        <f t="shared" si="13"/>
        <v>-</v>
      </c>
      <c r="N87" s="197" t="str">
        <f t="shared" si="14"/>
        <v>-</v>
      </c>
      <c r="O87" s="188" t="str">
        <f t="shared" si="15"/>
        <v>-</v>
      </c>
      <c r="P87" s="150" t="str">
        <f t="shared" si="16"/>
        <v>-</v>
      </c>
      <c r="Q87" s="198" t="str">
        <f t="shared" si="17"/>
        <v>-</v>
      </c>
      <c r="R87" s="202" t="str">
        <f t="shared" si="18"/>
        <v>-</v>
      </c>
      <c r="S87" s="198" t="str">
        <f>IF(Q87="-","-",VLOOKUP(B87,'UEstandar-Uexp'!$A$125:$Z$324,11))</f>
        <v>-</v>
      </c>
      <c r="T87" s="190" t="s">
        <v>32</v>
      </c>
      <c r="U87" s="430" t="s">
        <v>32</v>
      </c>
      <c r="V87" s="430"/>
    </row>
    <row r="88" spans="2:23" ht="17.75" customHeight="1">
      <c r="B88" s="166">
        <f>IF(F88="M",COUNTIF($F$36:F88,"M"),"-")</f>
        <v>46</v>
      </c>
      <c r="C88" s="350"/>
      <c r="D88" s="350"/>
      <c r="E88" s="312"/>
      <c r="F88" s="183" t="s">
        <v>10</v>
      </c>
      <c r="G88" s="308"/>
      <c r="H88" s="307"/>
      <c r="I88" s="307"/>
      <c r="J88" s="308"/>
      <c r="K88" s="311"/>
      <c r="L88" s="188" t="str">
        <f t="shared" si="0"/>
        <v>-</v>
      </c>
      <c r="M88" s="196" t="str">
        <f t="shared" si="13"/>
        <v>-</v>
      </c>
      <c r="N88" s="197" t="str">
        <f t="shared" si="14"/>
        <v>-</v>
      </c>
      <c r="O88" s="188" t="str">
        <f t="shared" si="15"/>
        <v>-</v>
      </c>
      <c r="P88" s="150" t="str">
        <f t="shared" si="16"/>
        <v>-</v>
      </c>
      <c r="Q88" s="198" t="str">
        <f t="shared" si="17"/>
        <v>-</v>
      </c>
      <c r="R88" s="202" t="str">
        <f t="shared" si="18"/>
        <v>-</v>
      </c>
      <c r="S88" s="198" t="str">
        <f>IF(Q88="-","-",VLOOKUP(B88,'UEstandar-Uexp'!$A$125:$Z$324,11))</f>
        <v>-</v>
      </c>
      <c r="T88" s="190" t="s">
        <v>32</v>
      </c>
      <c r="U88" s="430" t="s">
        <v>32</v>
      </c>
      <c r="V88" s="430"/>
    </row>
    <row r="89" spans="2:23" ht="17.75" customHeight="1">
      <c r="B89" s="166">
        <f>IF(F89="M",COUNTIF($F$36:F89,"M"),"-")</f>
        <v>47</v>
      </c>
      <c r="C89" s="350"/>
      <c r="D89" s="350"/>
      <c r="E89" s="312"/>
      <c r="F89" s="183" t="s">
        <v>10</v>
      </c>
      <c r="G89" s="306"/>
      <c r="H89" s="307"/>
      <c r="I89" s="307"/>
      <c r="J89" s="308"/>
      <c r="K89" s="311"/>
      <c r="L89" s="188" t="str">
        <f t="shared" si="0"/>
        <v>-</v>
      </c>
      <c r="M89" s="196" t="str">
        <f t="shared" si="13"/>
        <v>-</v>
      </c>
      <c r="N89" s="197" t="str">
        <f t="shared" si="14"/>
        <v>-</v>
      </c>
      <c r="O89" s="188" t="str">
        <f t="shared" si="15"/>
        <v>-</v>
      </c>
      <c r="P89" s="150" t="str">
        <f t="shared" si="16"/>
        <v>-</v>
      </c>
      <c r="Q89" s="198" t="str">
        <f t="shared" si="17"/>
        <v>-</v>
      </c>
      <c r="R89" s="202" t="str">
        <f t="shared" si="18"/>
        <v>-</v>
      </c>
      <c r="S89" s="198" t="str">
        <f>IF(Q89="-","-",VLOOKUP(B89,'UEstandar-Uexp'!$A$125:$Z$324,11))</f>
        <v>-</v>
      </c>
      <c r="T89" s="190" t="s">
        <v>32</v>
      </c>
      <c r="U89" s="430" t="s">
        <v>32</v>
      </c>
      <c r="V89" s="430"/>
    </row>
    <row r="90" spans="2:23" ht="17.75" customHeight="1">
      <c r="B90" s="166">
        <f>IF(F90="M",COUNTIF($F$36:F90,"M"),"-")</f>
        <v>48</v>
      </c>
      <c r="C90" s="350"/>
      <c r="D90" s="350"/>
      <c r="E90" s="312"/>
      <c r="F90" s="183" t="s">
        <v>10</v>
      </c>
      <c r="G90" s="308"/>
      <c r="H90" s="307"/>
      <c r="I90" s="307"/>
      <c r="J90" s="308"/>
      <c r="K90" s="311"/>
      <c r="L90" s="188" t="str">
        <f t="shared" si="0"/>
        <v>-</v>
      </c>
      <c r="M90" s="196" t="str">
        <f t="shared" si="13"/>
        <v>-</v>
      </c>
      <c r="N90" s="197" t="str">
        <f t="shared" si="14"/>
        <v>-</v>
      </c>
      <c r="O90" s="188" t="str">
        <f t="shared" si="15"/>
        <v>-</v>
      </c>
      <c r="P90" s="150" t="str">
        <f t="shared" si="16"/>
        <v>-</v>
      </c>
      <c r="Q90" s="198" t="str">
        <f t="shared" si="17"/>
        <v>-</v>
      </c>
      <c r="R90" s="202" t="str">
        <f t="shared" si="18"/>
        <v>-</v>
      </c>
      <c r="S90" s="198" t="str">
        <f>IF(Q90="-","-",VLOOKUP(B90,'UEstandar-Uexp'!$A$125:$Z$324,11))</f>
        <v>-</v>
      </c>
      <c r="T90" s="190" t="s">
        <v>32</v>
      </c>
      <c r="U90" s="430" t="s">
        <v>32</v>
      </c>
      <c r="V90" s="430"/>
    </row>
    <row r="91" spans="2:23" ht="17.75" customHeight="1">
      <c r="B91" s="166">
        <f>IF(F91="M",COUNTIF($F$36:F91,"M"),"-")</f>
        <v>49</v>
      </c>
      <c r="C91" s="350"/>
      <c r="D91" s="350"/>
      <c r="E91" s="312"/>
      <c r="F91" s="183" t="s">
        <v>10</v>
      </c>
      <c r="G91" s="304"/>
      <c r="H91" s="307"/>
      <c r="I91" s="307"/>
      <c r="J91" s="308"/>
      <c r="K91" s="311"/>
      <c r="L91" s="188" t="str">
        <f t="shared" si="0"/>
        <v>-</v>
      </c>
      <c r="M91" s="196" t="str">
        <f t="shared" si="13"/>
        <v>-</v>
      </c>
      <c r="N91" s="197" t="str">
        <f t="shared" si="14"/>
        <v>-</v>
      </c>
      <c r="O91" s="188" t="str">
        <f t="shared" si="15"/>
        <v>-</v>
      </c>
      <c r="P91" s="150" t="str">
        <f t="shared" si="16"/>
        <v>-</v>
      </c>
      <c r="Q91" s="198" t="str">
        <f t="shared" si="17"/>
        <v>-</v>
      </c>
      <c r="R91" s="202" t="str">
        <f t="shared" si="18"/>
        <v>-</v>
      </c>
      <c r="S91" s="198" t="str">
        <f>IF(Q91="-","-",VLOOKUP(B91,'UEstandar-Uexp'!$A$125:$Z$324,11))</f>
        <v>-</v>
      </c>
      <c r="T91" s="190" t="s">
        <v>32</v>
      </c>
      <c r="U91" s="430" t="s">
        <v>32</v>
      </c>
      <c r="V91" s="430"/>
    </row>
    <row r="92" spans="2:23" ht="17.75" customHeight="1">
      <c r="B92" s="166">
        <f>IF(F92="M",COUNTIF($F$36:F92,"M"),"-")</f>
        <v>50</v>
      </c>
      <c r="C92" s="350"/>
      <c r="D92" s="350"/>
      <c r="E92" s="312"/>
      <c r="F92" s="183" t="s">
        <v>10</v>
      </c>
      <c r="G92" s="308"/>
      <c r="H92" s="307"/>
      <c r="I92" s="307"/>
      <c r="J92" s="308"/>
      <c r="K92" s="309"/>
      <c r="L92" s="188" t="str">
        <f t="shared" si="0"/>
        <v>-</v>
      </c>
      <c r="M92" s="196" t="str">
        <f t="shared" si="13"/>
        <v>-</v>
      </c>
      <c r="N92" s="197" t="str">
        <f t="shared" si="14"/>
        <v>-</v>
      </c>
      <c r="O92" s="188" t="str">
        <f t="shared" si="15"/>
        <v>-</v>
      </c>
      <c r="P92" s="150" t="str">
        <f t="shared" si="16"/>
        <v>-</v>
      </c>
      <c r="Q92" s="198" t="str">
        <f t="shared" si="17"/>
        <v>-</v>
      </c>
      <c r="R92" s="202" t="str">
        <f t="shared" si="18"/>
        <v>-</v>
      </c>
      <c r="S92" s="198" t="str">
        <f>IF(Q92="-","-",VLOOKUP(B92,'UEstandar-Uexp'!$A$125:$Z$324,11))</f>
        <v>-</v>
      </c>
      <c r="T92" s="190" t="s">
        <v>32</v>
      </c>
      <c r="U92" s="430" t="s">
        <v>32</v>
      </c>
      <c r="V92" s="430"/>
    </row>
    <row r="93" spans="2:23" ht="17.75" customHeight="1">
      <c r="B93" s="166">
        <f>IF(F93="M",COUNTIF($F$36:F93,"M"),"-")</f>
        <v>51</v>
      </c>
      <c r="C93" s="350"/>
      <c r="D93" s="350"/>
      <c r="E93" s="312"/>
      <c r="F93" s="183" t="s">
        <v>10</v>
      </c>
      <c r="G93" s="308"/>
      <c r="H93" s="307"/>
      <c r="I93" s="307"/>
      <c r="J93" s="308"/>
      <c r="K93" s="309"/>
      <c r="L93" s="188" t="str">
        <f t="shared" si="0"/>
        <v>-</v>
      </c>
      <c r="M93" s="196" t="str">
        <f t="shared" si="13"/>
        <v>-</v>
      </c>
      <c r="N93" s="197" t="str">
        <f t="shared" si="14"/>
        <v>-</v>
      </c>
      <c r="O93" s="188" t="str">
        <f t="shared" si="15"/>
        <v>-</v>
      </c>
      <c r="P93" s="150" t="str">
        <f t="shared" si="16"/>
        <v>-</v>
      </c>
      <c r="Q93" s="198" t="str">
        <f t="shared" si="17"/>
        <v>-</v>
      </c>
      <c r="R93" s="202" t="str">
        <f t="shared" si="18"/>
        <v>-</v>
      </c>
      <c r="S93" s="198" t="str">
        <f>IF(Q93="-","-",VLOOKUP(B93,'UEstandar-Uexp'!$A$125:$Z$324,11))</f>
        <v>-</v>
      </c>
      <c r="T93" s="190" t="s">
        <v>32</v>
      </c>
      <c r="U93" s="430" t="s">
        <v>32</v>
      </c>
      <c r="V93" s="430"/>
    </row>
    <row r="94" spans="2:23" ht="17.75" customHeight="1">
      <c r="B94" s="166">
        <f>IF(F94="M",COUNTIF($F$36:F94,"M"),"-")</f>
        <v>52</v>
      </c>
      <c r="C94" s="350"/>
      <c r="D94" s="350"/>
      <c r="E94" s="312"/>
      <c r="F94" s="183" t="s">
        <v>10</v>
      </c>
      <c r="G94" s="308"/>
      <c r="H94" s="307"/>
      <c r="I94" s="307"/>
      <c r="J94" s="308"/>
      <c r="K94" s="309"/>
      <c r="L94" s="188" t="str">
        <f t="shared" si="0"/>
        <v>-</v>
      </c>
      <c r="M94" s="196" t="str">
        <f t="shared" si="13"/>
        <v>-</v>
      </c>
      <c r="N94" s="197" t="str">
        <f t="shared" si="14"/>
        <v>-</v>
      </c>
      <c r="O94" s="188" t="str">
        <f t="shared" si="15"/>
        <v>-</v>
      </c>
      <c r="P94" s="150" t="str">
        <f t="shared" si="16"/>
        <v>-</v>
      </c>
      <c r="Q94" s="198" t="str">
        <f t="shared" si="17"/>
        <v>-</v>
      </c>
      <c r="R94" s="202" t="str">
        <f t="shared" si="18"/>
        <v>-</v>
      </c>
      <c r="S94" s="198" t="str">
        <f>IF(Q94="-","-",VLOOKUP(B94,'UEstandar-Uexp'!$A$125:$Z$324,11))</f>
        <v>-</v>
      </c>
      <c r="T94" s="190" t="s">
        <v>32</v>
      </c>
      <c r="U94" s="430" t="s">
        <v>32</v>
      </c>
      <c r="V94" s="430"/>
    </row>
    <row r="95" spans="2:23" ht="17.75" customHeight="1">
      <c r="B95" s="166">
        <f>IF(F95="M",COUNTIF($F$36:F95,"M"),"-")</f>
        <v>53</v>
      </c>
      <c r="C95" s="350"/>
      <c r="D95" s="350"/>
      <c r="E95" s="312"/>
      <c r="F95" s="183" t="s">
        <v>10</v>
      </c>
      <c r="G95" s="306"/>
      <c r="H95" s="307"/>
      <c r="I95" s="307"/>
      <c r="J95" s="308"/>
      <c r="K95" s="309"/>
      <c r="L95" s="188" t="str">
        <f t="shared" si="0"/>
        <v>-</v>
      </c>
      <c r="M95" s="196" t="str">
        <f t="shared" si="13"/>
        <v>-</v>
      </c>
      <c r="N95" s="197" t="str">
        <f t="shared" si="14"/>
        <v>-</v>
      </c>
      <c r="O95" s="188" t="str">
        <f t="shared" si="15"/>
        <v>-</v>
      </c>
      <c r="P95" s="150" t="str">
        <f t="shared" si="16"/>
        <v>-</v>
      </c>
      <c r="Q95" s="198" t="str">
        <f t="shared" si="17"/>
        <v>-</v>
      </c>
      <c r="R95" s="202" t="str">
        <f t="shared" si="18"/>
        <v>-</v>
      </c>
      <c r="S95" s="198" t="str">
        <f>IF(Q95="-","-",VLOOKUP(B95,'UEstandar-Uexp'!$A$125:$Z$324,11))</f>
        <v>-</v>
      </c>
      <c r="T95" s="190" t="s">
        <v>32</v>
      </c>
      <c r="U95" s="430" t="s">
        <v>32</v>
      </c>
      <c r="V95" s="430"/>
    </row>
    <row r="96" spans="2:23" ht="17.75" customHeight="1">
      <c r="B96" s="166">
        <f>IF(F96="M",COUNTIF($F$36:F96,"M"),"-")</f>
        <v>54</v>
      </c>
      <c r="C96" s="350"/>
      <c r="D96" s="350"/>
      <c r="E96" s="312"/>
      <c r="F96" s="183" t="s">
        <v>10</v>
      </c>
      <c r="G96" s="308"/>
      <c r="H96" s="307"/>
      <c r="I96" s="307"/>
      <c r="J96" s="308"/>
      <c r="K96" s="309"/>
      <c r="L96" s="188" t="str">
        <f t="shared" si="0"/>
        <v>-</v>
      </c>
      <c r="M96" s="196" t="str">
        <f t="shared" si="13"/>
        <v>-</v>
      </c>
      <c r="N96" s="197" t="str">
        <f t="shared" si="14"/>
        <v>-</v>
      </c>
      <c r="O96" s="188" t="str">
        <f t="shared" si="15"/>
        <v>-</v>
      </c>
      <c r="P96" s="150" t="str">
        <f t="shared" si="16"/>
        <v>-</v>
      </c>
      <c r="Q96" s="198" t="str">
        <f t="shared" si="17"/>
        <v>-</v>
      </c>
      <c r="R96" s="202" t="str">
        <f t="shared" si="18"/>
        <v>-</v>
      </c>
      <c r="S96" s="198" t="str">
        <f>IF(Q96="-","-",VLOOKUP(B96,'UEstandar-Uexp'!$A$125:$Z$324,11))</f>
        <v>-</v>
      </c>
      <c r="T96" s="190" t="s">
        <v>32</v>
      </c>
      <c r="U96" s="430" t="s">
        <v>32</v>
      </c>
      <c r="V96" s="430"/>
    </row>
    <row r="97" spans="2:22" ht="17.75" customHeight="1">
      <c r="B97" s="166">
        <f>IF(F97="M",COUNTIF($F$36:F97,"M"),"-")</f>
        <v>55</v>
      </c>
      <c r="C97" s="350"/>
      <c r="D97" s="350"/>
      <c r="E97" s="312"/>
      <c r="F97" s="183" t="s">
        <v>10</v>
      </c>
      <c r="G97" s="304"/>
      <c r="H97" s="307"/>
      <c r="I97" s="307"/>
      <c r="J97" s="308"/>
      <c r="K97" s="309"/>
      <c r="L97" s="188" t="str">
        <f t="shared" si="0"/>
        <v>-</v>
      </c>
      <c r="M97" s="196" t="str">
        <f t="shared" si="13"/>
        <v>-</v>
      </c>
      <c r="N97" s="197" t="str">
        <f t="shared" si="14"/>
        <v>-</v>
      </c>
      <c r="O97" s="188" t="str">
        <f t="shared" si="15"/>
        <v>-</v>
      </c>
      <c r="P97" s="150" t="str">
        <f t="shared" si="16"/>
        <v>-</v>
      </c>
      <c r="Q97" s="198" t="str">
        <f t="shared" si="17"/>
        <v>-</v>
      </c>
      <c r="R97" s="202" t="str">
        <f t="shared" si="18"/>
        <v>-</v>
      </c>
      <c r="S97" s="198" t="str">
        <f>IF(Q97="-","-",VLOOKUP(B97,'UEstandar-Uexp'!$A$125:$Z$324,11))</f>
        <v>-</v>
      </c>
      <c r="T97" s="190" t="s">
        <v>32</v>
      </c>
      <c r="U97" s="430" t="s">
        <v>32</v>
      </c>
      <c r="V97" s="430"/>
    </row>
    <row r="98" spans="2:22" ht="17.75" customHeight="1">
      <c r="B98" s="166">
        <f>IF(F98="M",COUNTIF($F$36:F98,"M"),"-")</f>
        <v>56</v>
      </c>
      <c r="C98" s="350"/>
      <c r="D98" s="350"/>
      <c r="E98" s="312"/>
      <c r="F98" s="183" t="s">
        <v>10</v>
      </c>
      <c r="G98" s="308"/>
      <c r="H98" s="307"/>
      <c r="I98" s="307"/>
      <c r="J98" s="308"/>
      <c r="K98" s="310"/>
      <c r="L98" s="188" t="str">
        <f t="shared" ref="L98:L161" si="19">IF(K98="","-",((K98-AVERAGE($K$32:$K$33)-$O$16)/$O$15))</f>
        <v>-</v>
      </c>
      <c r="M98" s="196" t="str">
        <f t="shared" si="13"/>
        <v>-</v>
      </c>
      <c r="N98" s="197" t="str">
        <f t="shared" si="14"/>
        <v>-</v>
      </c>
      <c r="O98" s="188" t="str">
        <f t="shared" si="15"/>
        <v>-</v>
      </c>
      <c r="P98" s="150" t="str">
        <f t="shared" si="16"/>
        <v>-</v>
      </c>
      <c r="Q98" s="198" t="str">
        <f t="shared" si="17"/>
        <v>-</v>
      </c>
      <c r="R98" s="202" t="str">
        <f t="shared" si="18"/>
        <v>-</v>
      </c>
      <c r="S98" s="198" t="str">
        <f>IF(Q98="-","-",VLOOKUP(B98,'UEstandar-Uexp'!$A$125:$Z$324,11))</f>
        <v>-</v>
      </c>
      <c r="T98" s="190" t="s">
        <v>32</v>
      </c>
      <c r="U98" s="430" t="s">
        <v>32</v>
      </c>
      <c r="V98" s="430"/>
    </row>
    <row r="99" spans="2:22" ht="17.75" customHeight="1">
      <c r="B99" s="166">
        <f>IF(F99="M",COUNTIF($F$36:F99,"M"),"-")</f>
        <v>57</v>
      </c>
      <c r="C99" s="350"/>
      <c r="D99" s="350"/>
      <c r="E99" s="312"/>
      <c r="F99" s="183" t="s">
        <v>10</v>
      </c>
      <c r="G99" s="308"/>
      <c r="H99" s="307"/>
      <c r="I99" s="307"/>
      <c r="J99" s="308"/>
      <c r="K99" s="310"/>
      <c r="L99" s="188" t="str">
        <f t="shared" si="19"/>
        <v>-</v>
      </c>
      <c r="M99" s="196" t="str">
        <f t="shared" si="13"/>
        <v>-</v>
      </c>
      <c r="N99" s="197" t="str">
        <f t="shared" si="14"/>
        <v>-</v>
      </c>
      <c r="O99" s="188" t="str">
        <f t="shared" si="15"/>
        <v>-</v>
      </c>
      <c r="P99" s="150" t="str">
        <f t="shared" si="16"/>
        <v>-</v>
      </c>
      <c r="Q99" s="198" t="str">
        <f t="shared" si="17"/>
        <v>-</v>
      </c>
      <c r="R99" s="202" t="str">
        <f t="shared" si="18"/>
        <v>-</v>
      </c>
      <c r="S99" s="198" t="str">
        <f>IF(Q99="-","-",VLOOKUP(B99,'UEstandar-Uexp'!$A$125:$Z$324,11))</f>
        <v>-</v>
      </c>
      <c r="T99" s="190" t="s">
        <v>32</v>
      </c>
      <c r="U99" s="430" t="s">
        <v>32</v>
      </c>
      <c r="V99" s="430"/>
    </row>
    <row r="100" spans="2:22" ht="17.75" customHeight="1">
      <c r="B100" s="166">
        <f>IF(F100="M",COUNTIF($F$36:F100,"M"),"-")</f>
        <v>58</v>
      </c>
      <c r="C100" s="350"/>
      <c r="D100" s="350"/>
      <c r="E100" s="312"/>
      <c r="F100" s="183" t="s">
        <v>10</v>
      </c>
      <c r="G100" s="308"/>
      <c r="H100" s="307"/>
      <c r="I100" s="307"/>
      <c r="J100" s="308"/>
      <c r="K100" s="311"/>
      <c r="L100" s="188" t="str">
        <f t="shared" si="19"/>
        <v>-</v>
      </c>
      <c r="M100" s="196" t="str">
        <f t="shared" si="13"/>
        <v>-</v>
      </c>
      <c r="N100" s="197" t="str">
        <f t="shared" si="14"/>
        <v>-</v>
      </c>
      <c r="O100" s="188" t="str">
        <f t="shared" si="15"/>
        <v>-</v>
      </c>
      <c r="P100" s="150" t="str">
        <f t="shared" si="16"/>
        <v>-</v>
      </c>
      <c r="Q100" s="198" t="str">
        <f t="shared" si="17"/>
        <v>-</v>
      </c>
      <c r="R100" s="202" t="str">
        <f t="shared" si="18"/>
        <v>-</v>
      </c>
      <c r="S100" s="198" t="str">
        <f>IF(Q100="-","-",VLOOKUP(B100,'UEstandar-Uexp'!$A$125:$Z$324,11))</f>
        <v>-</v>
      </c>
      <c r="T100" s="190" t="s">
        <v>32</v>
      </c>
      <c r="U100" s="430" t="s">
        <v>32</v>
      </c>
      <c r="V100" s="430"/>
    </row>
    <row r="101" spans="2:22" ht="17.75" customHeight="1">
      <c r="B101" s="166">
        <f>IF(F101="M",COUNTIF($F$36:F101,"M"),"-")</f>
        <v>59</v>
      </c>
      <c r="C101" s="350"/>
      <c r="D101" s="350"/>
      <c r="E101" s="312"/>
      <c r="F101" s="183" t="s">
        <v>10</v>
      </c>
      <c r="G101" s="308"/>
      <c r="H101" s="307"/>
      <c r="I101" s="307"/>
      <c r="J101" s="308"/>
      <c r="K101" s="311"/>
      <c r="L101" s="188" t="str">
        <f t="shared" si="19"/>
        <v>-</v>
      </c>
      <c r="M101" s="196" t="str">
        <f t="shared" si="13"/>
        <v>-</v>
      </c>
      <c r="N101" s="197" t="str">
        <f t="shared" si="14"/>
        <v>-</v>
      </c>
      <c r="O101" s="188" t="str">
        <f t="shared" si="15"/>
        <v>-</v>
      </c>
      <c r="P101" s="150" t="str">
        <f t="shared" si="16"/>
        <v>-</v>
      </c>
      <c r="Q101" s="198" t="str">
        <f t="shared" si="17"/>
        <v>-</v>
      </c>
      <c r="R101" s="202" t="str">
        <f t="shared" si="18"/>
        <v>-</v>
      </c>
      <c r="S101" s="198" t="str">
        <f>IF(Q101="-","-",VLOOKUP(B101,'UEstandar-Uexp'!$A$125:$Z$324,11))</f>
        <v>-</v>
      </c>
      <c r="T101" s="190" t="s">
        <v>32</v>
      </c>
      <c r="U101" s="430" t="s">
        <v>32</v>
      </c>
      <c r="V101" s="430"/>
    </row>
    <row r="102" spans="2:22" ht="17.75" customHeight="1">
      <c r="B102" s="166">
        <f>IF(F102="M",COUNTIF($F$36:F102,"M"),"-")</f>
        <v>60</v>
      </c>
      <c r="C102" s="350"/>
      <c r="D102" s="350"/>
      <c r="E102" s="312"/>
      <c r="F102" s="183" t="s">
        <v>10</v>
      </c>
      <c r="G102" s="308"/>
      <c r="H102" s="307"/>
      <c r="I102" s="307"/>
      <c r="J102" s="308"/>
      <c r="K102" s="311"/>
      <c r="L102" s="188" t="str">
        <f t="shared" si="19"/>
        <v>-</v>
      </c>
      <c r="M102" s="196" t="str">
        <f t="shared" si="13"/>
        <v>-</v>
      </c>
      <c r="N102" s="197" t="str">
        <f t="shared" si="14"/>
        <v>-</v>
      </c>
      <c r="O102" s="188" t="str">
        <f t="shared" si="15"/>
        <v>-</v>
      </c>
      <c r="P102" s="150" t="str">
        <f t="shared" si="16"/>
        <v>-</v>
      </c>
      <c r="Q102" s="198" t="str">
        <f t="shared" si="17"/>
        <v>-</v>
      </c>
      <c r="R102" s="202" t="str">
        <f t="shared" si="18"/>
        <v>-</v>
      </c>
      <c r="S102" s="198" t="str">
        <f>IF(Q102="-","-",VLOOKUP(B102,'UEstandar-Uexp'!$A$125:$Z$324,11))</f>
        <v>-</v>
      </c>
      <c r="T102" s="190" t="s">
        <v>32</v>
      </c>
      <c r="U102" s="430" t="s">
        <v>32</v>
      </c>
      <c r="V102" s="430"/>
    </row>
    <row r="103" spans="2:22" ht="17.75" customHeight="1">
      <c r="B103" s="191" t="s">
        <v>32</v>
      </c>
      <c r="C103" s="184">
        <f>Datos!$J$14</f>
        <v>2.5</v>
      </c>
      <c r="D103" s="184" t="s">
        <v>126</v>
      </c>
      <c r="E103" s="185"/>
      <c r="F103" s="192" t="s">
        <v>118</v>
      </c>
      <c r="G103" s="187" t="s">
        <v>32</v>
      </c>
      <c r="H103" s="193" t="s">
        <v>32</v>
      </c>
      <c r="I103" s="193" t="s">
        <v>32</v>
      </c>
      <c r="J103" s="194" t="s">
        <v>32</v>
      </c>
      <c r="K103" s="309"/>
      <c r="L103" s="188" t="str">
        <f t="shared" si="19"/>
        <v>-</v>
      </c>
      <c r="M103" s="190" t="s">
        <v>32</v>
      </c>
      <c r="N103" s="190" t="s">
        <v>32</v>
      </c>
      <c r="O103" s="190" t="s">
        <v>32</v>
      </c>
      <c r="P103" s="150" t="s">
        <v>32</v>
      </c>
      <c r="Q103" s="190" t="s">
        <v>32</v>
      </c>
      <c r="R103" s="189" t="s">
        <v>32</v>
      </c>
      <c r="S103" s="190" t="s">
        <v>32</v>
      </c>
      <c r="T103" s="195" t="str">
        <f>IF(K103="","-",ROUND(100*(L103-C103)/C103,1))</f>
        <v>-</v>
      </c>
      <c r="U103" s="431" t="str">
        <f>IF(K103="","-",IF(AND(T103&lt;=$T$15,T103&gt;=-$T$15),"Cumple","No cumple"))</f>
        <v>-</v>
      </c>
      <c r="V103" s="431"/>
    </row>
    <row r="104" spans="2:22" ht="17.75" customHeight="1">
      <c r="B104" s="191" t="s">
        <v>32</v>
      </c>
      <c r="C104" s="350"/>
      <c r="D104" s="350"/>
      <c r="E104" s="200"/>
      <c r="F104" s="192" t="s">
        <v>117</v>
      </c>
      <c r="G104" s="306"/>
      <c r="H104" s="307"/>
      <c r="I104" s="307"/>
      <c r="J104" s="308"/>
      <c r="K104" s="309"/>
      <c r="L104" s="188" t="str">
        <f t="shared" si="19"/>
        <v>-</v>
      </c>
      <c r="M104" s="196" t="str">
        <f t="shared" ref="M104:M125" si="20">IF(G104="","-",G104+(AA$10*G104))</f>
        <v>-</v>
      </c>
      <c r="N104" s="197" t="str">
        <f t="shared" ref="N104:N125" si="21">IF(H104="","-",IF(H104&lt;=X$19,H104*Z$18+AA$18,H104*Z$19+AA$19))</f>
        <v>-</v>
      </c>
      <c r="O104" s="188" t="str">
        <f t="shared" ref="O104:O125" si="22">IF(I104="","-",$Z$26)</f>
        <v>-</v>
      </c>
      <c r="P104" s="150" t="str">
        <f t="shared" ref="P104:P125" si="23">IF(J104="","-",IF(J104&lt;=AC$19,J104*AE$18+AF$18,J104*AE$19+AF$19))</f>
        <v>-</v>
      </c>
      <c r="Q104" s="198" t="str">
        <f>IF(K104="","-",(L104*(N104/M104)*(O104/P104)))</f>
        <v>-</v>
      </c>
      <c r="R104" s="189" t="s">
        <v>32</v>
      </c>
      <c r="S104" s="190" t="s">
        <v>32</v>
      </c>
      <c r="T104" s="199" t="s">
        <v>32</v>
      </c>
      <c r="U104" s="431" t="str">
        <f>IF(K104="","-",IF(AND(Q104&gt;=$V$17,VALUE(Q104)&lt;=$T$17),"Cumple","No Cumple"))</f>
        <v>-</v>
      </c>
      <c r="V104" s="431"/>
    </row>
    <row r="105" spans="2:22" ht="17.75" customHeight="1">
      <c r="B105" s="191" t="s">
        <v>190</v>
      </c>
      <c r="C105" s="350"/>
      <c r="D105" s="350"/>
      <c r="E105" s="200"/>
      <c r="F105" s="192" t="s">
        <v>11</v>
      </c>
      <c r="G105" s="308"/>
      <c r="H105" s="307"/>
      <c r="I105" s="307"/>
      <c r="J105" s="308"/>
      <c r="K105" s="310"/>
      <c r="L105" s="188" t="str">
        <f t="shared" si="19"/>
        <v>-</v>
      </c>
      <c r="M105" s="196" t="str">
        <f t="shared" si="20"/>
        <v>-</v>
      </c>
      <c r="N105" s="197" t="str">
        <f t="shared" si="21"/>
        <v>-</v>
      </c>
      <c r="O105" s="188" t="str">
        <f t="shared" si="22"/>
        <v>-</v>
      </c>
      <c r="P105" s="150" t="str">
        <f t="shared" si="23"/>
        <v>-</v>
      </c>
      <c r="Q105" s="198" t="str">
        <f t="shared" ref="Q105:Q125" si="24">IF(K105="","-",ROUND((L105*(N105/M105)*(O105/P105)),2))</f>
        <v>-</v>
      </c>
      <c r="R105" s="189" t="s">
        <v>32</v>
      </c>
      <c r="S105" s="190" t="s">
        <v>32</v>
      </c>
      <c r="T105" s="201" t="str">
        <f>IF(C105="","-",ROUND(2*(Q105-Q106)*100/(Q105+Q106),1))</f>
        <v>-</v>
      </c>
      <c r="U105" s="431" t="str">
        <f>IF(K105="","-",IF(AND(T105&lt;=$T$16,T105&gt;=-$T$16),"Cumple","No cumple"))</f>
        <v>-</v>
      </c>
      <c r="V105" s="431"/>
    </row>
    <row r="106" spans="2:22" ht="17.75" customHeight="1">
      <c r="B106" s="166">
        <f>IF(F106="M",COUNTIF($F$36:F106,"M"),"-")</f>
        <v>61</v>
      </c>
      <c r="C106" s="350"/>
      <c r="D106" s="350"/>
      <c r="E106" s="312"/>
      <c r="F106" s="183" t="s">
        <v>10</v>
      </c>
      <c r="G106" s="304"/>
      <c r="H106" s="307"/>
      <c r="I106" s="307"/>
      <c r="J106" s="308"/>
      <c r="K106" s="310"/>
      <c r="L106" s="188" t="str">
        <f t="shared" si="19"/>
        <v>-</v>
      </c>
      <c r="M106" s="196" t="str">
        <f t="shared" si="20"/>
        <v>-</v>
      </c>
      <c r="N106" s="197" t="str">
        <f t="shared" si="21"/>
        <v>-</v>
      </c>
      <c r="O106" s="188" t="str">
        <f t="shared" si="22"/>
        <v>-</v>
      </c>
      <c r="P106" s="150" t="str">
        <f t="shared" si="23"/>
        <v>-</v>
      </c>
      <c r="Q106" s="198" t="str">
        <f t="shared" si="24"/>
        <v>-</v>
      </c>
      <c r="R106" s="202" t="str">
        <f>IF(Q106="","-",IF(Q106&lt;$Q$19,"&lt; LC","-"))</f>
        <v>-</v>
      </c>
      <c r="S106" s="198" t="str">
        <f>IF(Q106="-","-",VLOOKUP(B106,'UEstandar-Uexp'!$A$125:$Z$324,11))</f>
        <v>-</v>
      </c>
      <c r="T106" s="190" t="s">
        <v>32</v>
      </c>
      <c r="U106" s="430" t="s">
        <v>32</v>
      </c>
      <c r="V106" s="430"/>
    </row>
    <row r="107" spans="2:22" ht="17.75" customHeight="1">
      <c r="B107" s="166">
        <f>IF(F107="M",COUNTIF($F$36:F107,"M"),"-")</f>
        <v>62</v>
      </c>
      <c r="C107" s="350"/>
      <c r="D107" s="350"/>
      <c r="E107" s="312"/>
      <c r="F107" s="183" t="s">
        <v>10</v>
      </c>
      <c r="G107" s="308"/>
      <c r="H107" s="307"/>
      <c r="I107" s="307"/>
      <c r="J107" s="308"/>
      <c r="K107" s="311"/>
      <c r="L107" s="188" t="str">
        <f t="shared" si="19"/>
        <v>-</v>
      </c>
      <c r="M107" s="196" t="str">
        <f t="shared" si="20"/>
        <v>-</v>
      </c>
      <c r="N107" s="197" t="str">
        <f t="shared" si="21"/>
        <v>-</v>
      </c>
      <c r="O107" s="188" t="str">
        <f t="shared" si="22"/>
        <v>-</v>
      </c>
      <c r="P107" s="150" t="str">
        <f t="shared" si="23"/>
        <v>-</v>
      </c>
      <c r="Q107" s="198" t="str">
        <f t="shared" si="24"/>
        <v>-</v>
      </c>
      <c r="R107" s="202" t="str">
        <f t="shared" ref="R107:R125" si="25">IF(Q107="","-",IF(Q107&lt;$Q$19,"&lt; LC","-"))</f>
        <v>-</v>
      </c>
      <c r="S107" s="198" t="str">
        <f>IF(Q107="-","-",VLOOKUP(B107,'UEstandar-Uexp'!$A$125:$Z$324,11))</f>
        <v>-</v>
      </c>
      <c r="T107" s="190" t="s">
        <v>32</v>
      </c>
      <c r="U107" s="430" t="s">
        <v>32</v>
      </c>
      <c r="V107" s="430"/>
    </row>
    <row r="108" spans="2:22" ht="17.75" customHeight="1">
      <c r="B108" s="166">
        <f>IF(F108="M",COUNTIF($F$36:F108,"M"),"-")</f>
        <v>63</v>
      </c>
      <c r="C108" s="350"/>
      <c r="D108" s="350"/>
      <c r="E108" s="312"/>
      <c r="F108" s="183" t="s">
        <v>10</v>
      </c>
      <c r="G108" s="308"/>
      <c r="H108" s="307"/>
      <c r="I108" s="307"/>
      <c r="J108" s="308"/>
      <c r="K108" s="311"/>
      <c r="L108" s="188" t="str">
        <f t="shared" si="19"/>
        <v>-</v>
      </c>
      <c r="M108" s="196" t="str">
        <f t="shared" si="20"/>
        <v>-</v>
      </c>
      <c r="N108" s="197" t="str">
        <f t="shared" si="21"/>
        <v>-</v>
      </c>
      <c r="O108" s="188" t="str">
        <f t="shared" si="22"/>
        <v>-</v>
      </c>
      <c r="P108" s="150" t="str">
        <f t="shared" si="23"/>
        <v>-</v>
      </c>
      <c r="Q108" s="198" t="str">
        <f t="shared" si="24"/>
        <v>-</v>
      </c>
      <c r="R108" s="202" t="str">
        <f t="shared" si="25"/>
        <v>-</v>
      </c>
      <c r="S108" s="198" t="str">
        <f>IF(Q108="-","-",VLOOKUP(B108,'UEstandar-Uexp'!$A$125:$Z$324,11))</f>
        <v>-</v>
      </c>
      <c r="T108" s="190" t="s">
        <v>32</v>
      </c>
      <c r="U108" s="430" t="s">
        <v>32</v>
      </c>
      <c r="V108" s="430"/>
    </row>
    <row r="109" spans="2:22" ht="17.75" customHeight="1">
      <c r="B109" s="166">
        <f>IF(F109="M",COUNTIF($F$36:F109,"M"),"-")</f>
        <v>64</v>
      </c>
      <c r="C109" s="350"/>
      <c r="D109" s="350"/>
      <c r="E109" s="312"/>
      <c r="F109" s="183" t="s">
        <v>10</v>
      </c>
      <c r="G109" s="308"/>
      <c r="H109" s="307"/>
      <c r="I109" s="307"/>
      <c r="J109" s="308"/>
      <c r="K109" s="311"/>
      <c r="L109" s="188" t="str">
        <f t="shared" si="19"/>
        <v>-</v>
      </c>
      <c r="M109" s="196" t="str">
        <f t="shared" si="20"/>
        <v>-</v>
      </c>
      <c r="N109" s="197" t="str">
        <f t="shared" si="21"/>
        <v>-</v>
      </c>
      <c r="O109" s="188" t="str">
        <f t="shared" si="22"/>
        <v>-</v>
      </c>
      <c r="P109" s="150" t="str">
        <f t="shared" si="23"/>
        <v>-</v>
      </c>
      <c r="Q109" s="198" t="str">
        <f t="shared" si="24"/>
        <v>-</v>
      </c>
      <c r="R109" s="202" t="str">
        <f t="shared" si="25"/>
        <v>-</v>
      </c>
      <c r="S109" s="198" t="str">
        <f>IF(Q109="-","-",VLOOKUP(B109,'UEstandar-Uexp'!$A$125:$Z$324,11))</f>
        <v>-</v>
      </c>
      <c r="T109" s="190" t="s">
        <v>32</v>
      </c>
      <c r="U109" s="430" t="s">
        <v>32</v>
      </c>
      <c r="V109" s="430"/>
    </row>
    <row r="110" spans="2:22" ht="17.75" customHeight="1">
      <c r="B110" s="166">
        <f>IF(F110="M",COUNTIF($F$36:F110,"M"),"-")</f>
        <v>65</v>
      </c>
      <c r="C110" s="350"/>
      <c r="D110" s="350"/>
      <c r="E110" s="312"/>
      <c r="F110" s="183" t="s">
        <v>10</v>
      </c>
      <c r="G110" s="308"/>
      <c r="H110" s="307"/>
      <c r="I110" s="307"/>
      <c r="J110" s="308"/>
      <c r="K110" s="311"/>
      <c r="L110" s="188" t="str">
        <f t="shared" si="19"/>
        <v>-</v>
      </c>
      <c r="M110" s="196" t="str">
        <f t="shared" si="20"/>
        <v>-</v>
      </c>
      <c r="N110" s="197" t="str">
        <f t="shared" si="21"/>
        <v>-</v>
      </c>
      <c r="O110" s="188" t="str">
        <f t="shared" si="22"/>
        <v>-</v>
      </c>
      <c r="P110" s="150" t="str">
        <f t="shared" si="23"/>
        <v>-</v>
      </c>
      <c r="Q110" s="198" t="str">
        <f t="shared" si="24"/>
        <v>-</v>
      </c>
      <c r="R110" s="202" t="str">
        <f t="shared" si="25"/>
        <v>-</v>
      </c>
      <c r="S110" s="198" t="str">
        <f>IF(Q110="-","-",VLOOKUP(B110,'UEstandar-Uexp'!$A$125:$Z$324,11))</f>
        <v>-</v>
      </c>
      <c r="T110" s="190" t="s">
        <v>32</v>
      </c>
      <c r="U110" s="430" t="s">
        <v>32</v>
      </c>
      <c r="V110" s="430"/>
    </row>
    <row r="111" spans="2:22" ht="17.75" customHeight="1">
      <c r="B111" s="166">
        <f>IF(F111="M",COUNTIF($F$36:F111,"M"),"-")</f>
        <v>66</v>
      </c>
      <c r="C111" s="350"/>
      <c r="D111" s="350"/>
      <c r="E111" s="312"/>
      <c r="F111" s="183" t="s">
        <v>10</v>
      </c>
      <c r="G111" s="308"/>
      <c r="H111" s="307"/>
      <c r="I111" s="307"/>
      <c r="J111" s="308"/>
      <c r="K111" s="311"/>
      <c r="L111" s="188" t="str">
        <f t="shared" si="19"/>
        <v>-</v>
      </c>
      <c r="M111" s="196" t="str">
        <f t="shared" si="20"/>
        <v>-</v>
      </c>
      <c r="N111" s="197" t="str">
        <f t="shared" si="21"/>
        <v>-</v>
      </c>
      <c r="O111" s="188" t="str">
        <f t="shared" si="22"/>
        <v>-</v>
      </c>
      <c r="P111" s="150" t="str">
        <f t="shared" si="23"/>
        <v>-</v>
      </c>
      <c r="Q111" s="198" t="str">
        <f t="shared" si="24"/>
        <v>-</v>
      </c>
      <c r="R111" s="202" t="str">
        <f t="shared" si="25"/>
        <v>-</v>
      </c>
      <c r="S111" s="198" t="str">
        <f>IF(Q111="-","-",VLOOKUP(B111,'UEstandar-Uexp'!$A$125:$Z$324,11))</f>
        <v>-</v>
      </c>
      <c r="T111" s="190" t="s">
        <v>32</v>
      </c>
      <c r="U111" s="430" t="s">
        <v>32</v>
      </c>
      <c r="V111" s="430"/>
    </row>
    <row r="112" spans="2:22" ht="17.75" customHeight="1">
      <c r="B112" s="166">
        <f>IF(F112="M",COUNTIF($F$36:F112,"M"),"-")</f>
        <v>67</v>
      </c>
      <c r="C112" s="350"/>
      <c r="D112" s="350"/>
      <c r="E112" s="312"/>
      <c r="F112" s="183" t="s">
        <v>10</v>
      </c>
      <c r="G112" s="306"/>
      <c r="H112" s="307"/>
      <c r="I112" s="307"/>
      <c r="J112" s="308"/>
      <c r="K112" s="311"/>
      <c r="L112" s="188" t="str">
        <f t="shared" si="19"/>
        <v>-</v>
      </c>
      <c r="M112" s="196" t="str">
        <f t="shared" si="20"/>
        <v>-</v>
      </c>
      <c r="N112" s="197" t="str">
        <f t="shared" si="21"/>
        <v>-</v>
      </c>
      <c r="O112" s="188" t="str">
        <f t="shared" si="22"/>
        <v>-</v>
      </c>
      <c r="P112" s="150" t="str">
        <f t="shared" si="23"/>
        <v>-</v>
      </c>
      <c r="Q112" s="198" t="str">
        <f t="shared" si="24"/>
        <v>-</v>
      </c>
      <c r="R112" s="202" t="str">
        <f t="shared" si="25"/>
        <v>-</v>
      </c>
      <c r="S112" s="198" t="str">
        <f>IF(Q112="-","-",VLOOKUP(B112,'UEstandar-Uexp'!$A$125:$Z$324,11))</f>
        <v>-</v>
      </c>
      <c r="T112" s="190" t="s">
        <v>32</v>
      </c>
      <c r="U112" s="430" t="s">
        <v>32</v>
      </c>
      <c r="V112" s="430"/>
    </row>
    <row r="113" spans="2:22" ht="17.75" customHeight="1">
      <c r="B113" s="166">
        <f>IF(F113="M",COUNTIF($F$36:F113,"M"),"-")</f>
        <v>68</v>
      </c>
      <c r="C113" s="350"/>
      <c r="D113" s="350"/>
      <c r="E113" s="312"/>
      <c r="F113" s="183" t="s">
        <v>10</v>
      </c>
      <c r="G113" s="308"/>
      <c r="H113" s="307"/>
      <c r="I113" s="307"/>
      <c r="J113" s="308"/>
      <c r="K113" s="311"/>
      <c r="L113" s="188" t="str">
        <f t="shared" si="19"/>
        <v>-</v>
      </c>
      <c r="M113" s="196" t="str">
        <f t="shared" si="20"/>
        <v>-</v>
      </c>
      <c r="N113" s="197" t="str">
        <f t="shared" si="21"/>
        <v>-</v>
      </c>
      <c r="O113" s="188" t="str">
        <f t="shared" si="22"/>
        <v>-</v>
      </c>
      <c r="P113" s="150" t="str">
        <f t="shared" si="23"/>
        <v>-</v>
      </c>
      <c r="Q113" s="198" t="str">
        <f t="shared" si="24"/>
        <v>-</v>
      </c>
      <c r="R113" s="202" t="str">
        <f t="shared" si="25"/>
        <v>-</v>
      </c>
      <c r="S113" s="198" t="str">
        <f>IF(Q113="-","-",VLOOKUP(B113,'UEstandar-Uexp'!$A$125:$Z$324,11))</f>
        <v>-</v>
      </c>
      <c r="T113" s="190" t="s">
        <v>32</v>
      </c>
      <c r="U113" s="430" t="s">
        <v>32</v>
      </c>
      <c r="V113" s="430"/>
    </row>
    <row r="114" spans="2:22" ht="17.75" customHeight="1">
      <c r="B114" s="166">
        <f>IF(F114="M",COUNTIF($F$36:F114,"M"),"-")</f>
        <v>69</v>
      </c>
      <c r="C114" s="350"/>
      <c r="D114" s="350"/>
      <c r="E114" s="312"/>
      <c r="F114" s="183" t="s">
        <v>10</v>
      </c>
      <c r="G114" s="304"/>
      <c r="H114" s="307"/>
      <c r="I114" s="307"/>
      <c r="J114" s="308"/>
      <c r="K114" s="311"/>
      <c r="L114" s="188" t="str">
        <f t="shared" si="19"/>
        <v>-</v>
      </c>
      <c r="M114" s="196" t="str">
        <f t="shared" si="20"/>
        <v>-</v>
      </c>
      <c r="N114" s="197" t="str">
        <f t="shared" si="21"/>
        <v>-</v>
      </c>
      <c r="O114" s="188" t="str">
        <f t="shared" si="22"/>
        <v>-</v>
      </c>
      <c r="P114" s="150" t="str">
        <f t="shared" si="23"/>
        <v>-</v>
      </c>
      <c r="Q114" s="198" t="str">
        <f t="shared" si="24"/>
        <v>-</v>
      </c>
      <c r="R114" s="202" t="str">
        <f t="shared" si="25"/>
        <v>-</v>
      </c>
      <c r="S114" s="198" t="str">
        <f>IF(Q114="-","-",VLOOKUP(B114,'UEstandar-Uexp'!$A$125:$Z$324,11))</f>
        <v>-</v>
      </c>
      <c r="T114" s="190" t="s">
        <v>32</v>
      </c>
      <c r="U114" s="430" t="s">
        <v>32</v>
      </c>
      <c r="V114" s="430"/>
    </row>
    <row r="115" spans="2:22" ht="17.75" customHeight="1">
      <c r="B115" s="166">
        <f>IF(F115="M",COUNTIF($F$36:F115,"M"),"-")</f>
        <v>70</v>
      </c>
      <c r="C115" s="350"/>
      <c r="D115" s="350"/>
      <c r="E115" s="312"/>
      <c r="F115" s="183" t="s">
        <v>10</v>
      </c>
      <c r="G115" s="308"/>
      <c r="H115" s="307"/>
      <c r="I115" s="307"/>
      <c r="J115" s="308"/>
      <c r="K115" s="309"/>
      <c r="L115" s="188" t="str">
        <f t="shared" si="19"/>
        <v>-</v>
      </c>
      <c r="M115" s="196" t="str">
        <f t="shared" si="20"/>
        <v>-</v>
      </c>
      <c r="N115" s="197" t="str">
        <f t="shared" si="21"/>
        <v>-</v>
      </c>
      <c r="O115" s="188" t="str">
        <f t="shared" si="22"/>
        <v>-</v>
      </c>
      <c r="P115" s="150" t="str">
        <f t="shared" si="23"/>
        <v>-</v>
      </c>
      <c r="Q115" s="198" t="str">
        <f t="shared" si="24"/>
        <v>-</v>
      </c>
      <c r="R115" s="202" t="str">
        <f t="shared" si="25"/>
        <v>-</v>
      </c>
      <c r="S115" s="198" t="str">
        <f>IF(Q115="-","-",VLOOKUP(B115,'UEstandar-Uexp'!$A$125:$Z$324,11))</f>
        <v>-</v>
      </c>
      <c r="T115" s="190" t="s">
        <v>32</v>
      </c>
      <c r="U115" s="430" t="s">
        <v>32</v>
      </c>
      <c r="V115" s="430"/>
    </row>
    <row r="116" spans="2:22" ht="17.75" customHeight="1">
      <c r="B116" s="166">
        <f>IF(F116="M",COUNTIF($F$36:F116,"M"),"-")</f>
        <v>71</v>
      </c>
      <c r="C116" s="350"/>
      <c r="D116" s="350"/>
      <c r="E116" s="312"/>
      <c r="F116" s="183" t="s">
        <v>10</v>
      </c>
      <c r="G116" s="308"/>
      <c r="H116" s="307"/>
      <c r="I116" s="307"/>
      <c r="J116" s="308"/>
      <c r="K116" s="309"/>
      <c r="L116" s="188" t="str">
        <f t="shared" si="19"/>
        <v>-</v>
      </c>
      <c r="M116" s="196" t="str">
        <f t="shared" si="20"/>
        <v>-</v>
      </c>
      <c r="N116" s="197" t="str">
        <f t="shared" si="21"/>
        <v>-</v>
      </c>
      <c r="O116" s="188" t="str">
        <f t="shared" si="22"/>
        <v>-</v>
      </c>
      <c r="P116" s="150" t="str">
        <f t="shared" si="23"/>
        <v>-</v>
      </c>
      <c r="Q116" s="198" t="str">
        <f t="shared" si="24"/>
        <v>-</v>
      </c>
      <c r="R116" s="202" t="str">
        <f t="shared" si="25"/>
        <v>-</v>
      </c>
      <c r="S116" s="198" t="str">
        <f>IF(Q116="-","-",VLOOKUP(B116,'UEstandar-Uexp'!$A$125:$Z$324,11))</f>
        <v>-</v>
      </c>
      <c r="T116" s="190" t="s">
        <v>32</v>
      </c>
      <c r="U116" s="430" t="s">
        <v>32</v>
      </c>
      <c r="V116" s="430"/>
    </row>
    <row r="117" spans="2:22" ht="17.75" customHeight="1">
      <c r="B117" s="166">
        <f>IF(F117="M",COUNTIF($F$36:F117,"M"),"-")</f>
        <v>72</v>
      </c>
      <c r="C117" s="350"/>
      <c r="D117" s="350"/>
      <c r="E117" s="312"/>
      <c r="F117" s="183" t="s">
        <v>10</v>
      </c>
      <c r="G117" s="308"/>
      <c r="H117" s="307"/>
      <c r="I117" s="307"/>
      <c r="J117" s="308"/>
      <c r="K117" s="309"/>
      <c r="L117" s="188" t="str">
        <f t="shared" si="19"/>
        <v>-</v>
      </c>
      <c r="M117" s="196" t="str">
        <f t="shared" si="20"/>
        <v>-</v>
      </c>
      <c r="N117" s="197" t="str">
        <f t="shared" si="21"/>
        <v>-</v>
      </c>
      <c r="O117" s="188" t="str">
        <f t="shared" si="22"/>
        <v>-</v>
      </c>
      <c r="P117" s="150" t="str">
        <f t="shared" si="23"/>
        <v>-</v>
      </c>
      <c r="Q117" s="198" t="str">
        <f t="shared" si="24"/>
        <v>-</v>
      </c>
      <c r="R117" s="202" t="str">
        <f t="shared" si="25"/>
        <v>-</v>
      </c>
      <c r="S117" s="198" t="str">
        <f>IF(Q117="-","-",VLOOKUP(B117,'UEstandar-Uexp'!$A$125:$Z$324,11))</f>
        <v>-</v>
      </c>
      <c r="T117" s="190" t="s">
        <v>32</v>
      </c>
      <c r="U117" s="430" t="s">
        <v>32</v>
      </c>
      <c r="V117" s="430"/>
    </row>
    <row r="118" spans="2:22" ht="17.75" customHeight="1">
      <c r="B118" s="166">
        <f>IF(F118="M",COUNTIF($F$36:F118,"M"),"-")</f>
        <v>73</v>
      </c>
      <c r="C118" s="350"/>
      <c r="D118" s="350"/>
      <c r="E118" s="312"/>
      <c r="F118" s="183" t="s">
        <v>10</v>
      </c>
      <c r="G118" s="306"/>
      <c r="H118" s="307"/>
      <c r="I118" s="307"/>
      <c r="J118" s="308"/>
      <c r="K118" s="309"/>
      <c r="L118" s="188" t="str">
        <f t="shared" si="19"/>
        <v>-</v>
      </c>
      <c r="M118" s="196" t="str">
        <f t="shared" si="20"/>
        <v>-</v>
      </c>
      <c r="N118" s="197" t="str">
        <f t="shared" si="21"/>
        <v>-</v>
      </c>
      <c r="O118" s="188" t="str">
        <f t="shared" si="22"/>
        <v>-</v>
      </c>
      <c r="P118" s="150" t="str">
        <f t="shared" si="23"/>
        <v>-</v>
      </c>
      <c r="Q118" s="198" t="str">
        <f t="shared" si="24"/>
        <v>-</v>
      </c>
      <c r="R118" s="202" t="str">
        <f t="shared" si="25"/>
        <v>-</v>
      </c>
      <c r="S118" s="198" t="str">
        <f>IF(Q118="-","-",VLOOKUP(B118,'UEstandar-Uexp'!$A$125:$Z$324,11))</f>
        <v>-</v>
      </c>
      <c r="T118" s="190" t="s">
        <v>32</v>
      </c>
      <c r="U118" s="430" t="s">
        <v>32</v>
      </c>
      <c r="V118" s="430"/>
    </row>
    <row r="119" spans="2:22" ht="17.75" customHeight="1">
      <c r="B119" s="166">
        <f>IF(F119="M",COUNTIF($F$36:F119,"M"),"-")</f>
        <v>74</v>
      </c>
      <c r="C119" s="350"/>
      <c r="D119" s="350"/>
      <c r="E119" s="312"/>
      <c r="F119" s="183" t="s">
        <v>10</v>
      </c>
      <c r="G119" s="308"/>
      <c r="H119" s="307"/>
      <c r="I119" s="307"/>
      <c r="J119" s="308"/>
      <c r="K119" s="309"/>
      <c r="L119" s="188" t="str">
        <f t="shared" si="19"/>
        <v>-</v>
      </c>
      <c r="M119" s="196" t="str">
        <f t="shared" si="20"/>
        <v>-</v>
      </c>
      <c r="N119" s="197" t="str">
        <f t="shared" si="21"/>
        <v>-</v>
      </c>
      <c r="O119" s="188" t="str">
        <f t="shared" si="22"/>
        <v>-</v>
      </c>
      <c r="P119" s="150" t="str">
        <f t="shared" si="23"/>
        <v>-</v>
      </c>
      <c r="Q119" s="198" t="str">
        <f t="shared" si="24"/>
        <v>-</v>
      </c>
      <c r="R119" s="202" t="str">
        <f t="shared" si="25"/>
        <v>-</v>
      </c>
      <c r="S119" s="198" t="str">
        <f>IF(Q119="-","-",VLOOKUP(B119,'UEstandar-Uexp'!$A$125:$Z$324,11))</f>
        <v>-</v>
      </c>
      <c r="T119" s="190" t="s">
        <v>32</v>
      </c>
      <c r="U119" s="430" t="s">
        <v>32</v>
      </c>
      <c r="V119" s="430"/>
    </row>
    <row r="120" spans="2:22" ht="17.75" customHeight="1">
      <c r="B120" s="166">
        <f>IF(F120="M",COUNTIF($F$36:F120,"M"),"-")</f>
        <v>75</v>
      </c>
      <c r="C120" s="350"/>
      <c r="D120" s="350"/>
      <c r="E120" s="312"/>
      <c r="F120" s="183" t="s">
        <v>10</v>
      </c>
      <c r="G120" s="304"/>
      <c r="H120" s="307"/>
      <c r="I120" s="307"/>
      <c r="J120" s="308"/>
      <c r="K120" s="309"/>
      <c r="L120" s="188" t="str">
        <f t="shared" si="19"/>
        <v>-</v>
      </c>
      <c r="M120" s="196" t="str">
        <f t="shared" si="20"/>
        <v>-</v>
      </c>
      <c r="N120" s="197" t="str">
        <f t="shared" si="21"/>
        <v>-</v>
      </c>
      <c r="O120" s="188" t="str">
        <f t="shared" si="22"/>
        <v>-</v>
      </c>
      <c r="P120" s="150" t="str">
        <f t="shared" si="23"/>
        <v>-</v>
      </c>
      <c r="Q120" s="198" t="str">
        <f t="shared" si="24"/>
        <v>-</v>
      </c>
      <c r="R120" s="202" t="str">
        <f t="shared" si="25"/>
        <v>-</v>
      </c>
      <c r="S120" s="198" t="str">
        <f>IF(Q120="-","-",VLOOKUP(B120,'UEstandar-Uexp'!$A$125:$Z$324,11))</f>
        <v>-</v>
      </c>
      <c r="T120" s="190" t="s">
        <v>32</v>
      </c>
      <c r="U120" s="430" t="s">
        <v>32</v>
      </c>
      <c r="V120" s="430"/>
    </row>
    <row r="121" spans="2:22" ht="17.75" customHeight="1">
      <c r="B121" s="166">
        <f>IF(F121="M",COUNTIF($F$36:F121,"M"),"-")</f>
        <v>76</v>
      </c>
      <c r="C121" s="350"/>
      <c r="D121" s="350"/>
      <c r="E121" s="312"/>
      <c r="F121" s="183" t="s">
        <v>10</v>
      </c>
      <c r="G121" s="308"/>
      <c r="H121" s="307"/>
      <c r="I121" s="307"/>
      <c r="J121" s="308"/>
      <c r="K121" s="310"/>
      <c r="L121" s="188" t="str">
        <f t="shared" si="19"/>
        <v>-</v>
      </c>
      <c r="M121" s="196" t="str">
        <f t="shared" si="20"/>
        <v>-</v>
      </c>
      <c r="N121" s="197" t="str">
        <f t="shared" si="21"/>
        <v>-</v>
      </c>
      <c r="O121" s="188" t="str">
        <f t="shared" si="22"/>
        <v>-</v>
      </c>
      <c r="P121" s="150" t="str">
        <f t="shared" si="23"/>
        <v>-</v>
      </c>
      <c r="Q121" s="198" t="str">
        <f t="shared" si="24"/>
        <v>-</v>
      </c>
      <c r="R121" s="202" t="str">
        <f t="shared" si="25"/>
        <v>-</v>
      </c>
      <c r="S121" s="198" t="str">
        <f>IF(Q121="-","-",VLOOKUP(B121,'UEstandar-Uexp'!$A$125:$Z$324,11))</f>
        <v>-</v>
      </c>
      <c r="T121" s="190" t="s">
        <v>32</v>
      </c>
      <c r="U121" s="430" t="s">
        <v>32</v>
      </c>
      <c r="V121" s="430"/>
    </row>
    <row r="122" spans="2:22" ht="17.75" customHeight="1">
      <c r="B122" s="166">
        <f>IF(F122="M",COUNTIF($F$36:F122,"M"),"-")</f>
        <v>77</v>
      </c>
      <c r="C122" s="350"/>
      <c r="D122" s="350"/>
      <c r="E122" s="312"/>
      <c r="F122" s="183" t="s">
        <v>10</v>
      </c>
      <c r="G122" s="308"/>
      <c r="H122" s="307"/>
      <c r="I122" s="307"/>
      <c r="J122" s="308"/>
      <c r="K122" s="310"/>
      <c r="L122" s="188" t="str">
        <f t="shared" si="19"/>
        <v>-</v>
      </c>
      <c r="M122" s="196" t="str">
        <f t="shared" si="20"/>
        <v>-</v>
      </c>
      <c r="N122" s="197" t="str">
        <f t="shared" si="21"/>
        <v>-</v>
      </c>
      <c r="O122" s="188" t="str">
        <f t="shared" si="22"/>
        <v>-</v>
      </c>
      <c r="P122" s="150" t="str">
        <f t="shared" si="23"/>
        <v>-</v>
      </c>
      <c r="Q122" s="198" t="str">
        <f t="shared" si="24"/>
        <v>-</v>
      </c>
      <c r="R122" s="202" t="str">
        <f t="shared" si="25"/>
        <v>-</v>
      </c>
      <c r="S122" s="198" t="str">
        <f>IF(Q122="-","-",VLOOKUP(B122,'UEstandar-Uexp'!$A$125:$Z$324,11))</f>
        <v>-</v>
      </c>
      <c r="T122" s="190" t="s">
        <v>32</v>
      </c>
      <c r="U122" s="430" t="s">
        <v>32</v>
      </c>
      <c r="V122" s="430"/>
    </row>
    <row r="123" spans="2:22" ht="17.75" customHeight="1">
      <c r="B123" s="166">
        <f>IF(F123="M",COUNTIF($F$36:F123,"M"),"-")</f>
        <v>78</v>
      </c>
      <c r="C123" s="350"/>
      <c r="D123" s="350"/>
      <c r="E123" s="312"/>
      <c r="F123" s="183" t="s">
        <v>10</v>
      </c>
      <c r="G123" s="308"/>
      <c r="H123" s="307"/>
      <c r="I123" s="307"/>
      <c r="J123" s="308"/>
      <c r="K123" s="311"/>
      <c r="L123" s="188" t="str">
        <f t="shared" si="19"/>
        <v>-</v>
      </c>
      <c r="M123" s="196" t="str">
        <f t="shared" si="20"/>
        <v>-</v>
      </c>
      <c r="N123" s="197" t="str">
        <f t="shared" si="21"/>
        <v>-</v>
      </c>
      <c r="O123" s="188" t="str">
        <f t="shared" si="22"/>
        <v>-</v>
      </c>
      <c r="P123" s="150" t="str">
        <f t="shared" si="23"/>
        <v>-</v>
      </c>
      <c r="Q123" s="198" t="str">
        <f t="shared" si="24"/>
        <v>-</v>
      </c>
      <c r="R123" s="202" t="str">
        <f t="shared" si="25"/>
        <v>-</v>
      </c>
      <c r="S123" s="198" t="str">
        <f>IF(Q123="-","-",VLOOKUP(B123,'UEstandar-Uexp'!$A$125:$Z$324,11))</f>
        <v>-</v>
      </c>
      <c r="T123" s="190" t="s">
        <v>32</v>
      </c>
      <c r="U123" s="430" t="s">
        <v>32</v>
      </c>
      <c r="V123" s="430"/>
    </row>
    <row r="124" spans="2:22" ht="17.75" customHeight="1">
      <c r="B124" s="166">
        <f>IF(F124="M",COUNTIF($F$36:F124,"M"),"-")</f>
        <v>79</v>
      </c>
      <c r="C124" s="350"/>
      <c r="D124" s="350"/>
      <c r="E124" s="312"/>
      <c r="F124" s="183" t="s">
        <v>10</v>
      </c>
      <c r="G124" s="308"/>
      <c r="H124" s="307"/>
      <c r="I124" s="307"/>
      <c r="J124" s="308"/>
      <c r="K124" s="311"/>
      <c r="L124" s="188" t="str">
        <f t="shared" si="19"/>
        <v>-</v>
      </c>
      <c r="M124" s="196" t="str">
        <f t="shared" si="20"/>
        <v>-</v>
      </c>
      <c r="N124" s="197" t="str">
        <f t="shared" si="21"/>
        <v>-</v>
      </c>
      <c r="O124" s="188" t="str">
        <f t="shared" si="22"/>
        <v>-</v>
      </c>
      <c r="P124" s="150" t="str">
        <f t="shared" si="23"/>
        <v>-</v>
      </c>
      <c r="Q124" s="198" t="str">
        <f t="shared" si="24"/>
        <v>-</v>
      </c>
      <c r="R124" s="202" t="str">
        <f t="shared" si="25"/>
        <v>-</v>
      </c>
      <c r="S124" s="198" t="str">
        <f>IF(Q124="-","-",VLOOKUP(B124,'UEstandar-Uexp'!$A$125:$Z$324,11))</f>
        <v>-</v>
      </c>
      <c r="T124" s="190" t="s">
        <v>32</v>
      </c>
      <c r="U124" s="430" t="s">
        <v>32</v>
      </c>
      <c r="V124" s="430"/>
    </row>
    <row r="125" spans="2:22" ht="17.75" customHeight="1">
      <c r="B125" s="166">
        <f>IF(F125="M",COUNTIF($F$36:F125,"M"),"-")</f>
        <v>80</v>
      </c>
      <c r="C125" s="350"/>
      <c r="D125" s="350"/>
      <c r="E125" s="312"/>
      <c r="F125" s="183" t="s">
        <v>10</v>
      </c>
      <c r="G125" s="308"/>
      <c r="H125" s="307"/>
      <c r="I125" s="307"/>
      <c r="J125" s="308"/>
      <c r="K125" s="311"/>
      <c r="L125" s="188" t="str">
        <f t="shared" si="19"/>
        <v>-</v>
      </c>
      <c r="M125" s="196" t="str">
        <f t="shared" si="20"/>
        <v>-</v>
      </c>
      <c r="N125" s="197" t="str">
        <f t="shared" si="21"/>
        <v>-</v>
      </c>
      <c r="O125" s="188" t="str">
        <f t="shared" si="22"/>
        <v>-</v>
      </c>
      <c r="P125" s="150" t="str">
        <f t="shared" si="23"/>
        <v>-</v>
      </c>
      <c r="Q125" s="198" t="str">
        <f t="shared" si="24"/>
        <v>-</v>
      </c>
      <c r="R125" s="202" t="str">
        <f t="shared" si="25"/>
        <v>-</v>
      </c>
      <c r="S125" s="198" t="str">
        <f>IF(Q125="-","-",VLOOKUP(B125,'UEstandar-Uexp'!$A$125:$Z$324,11))</f>
        <v>-</v>
      </c>
      <c r="T125" s="190" t="s">
        <v>32</v>
      </c>
      <c r="U125" s="430" t="s">
        <v>32</v>
      </c>
      <c r="V125" s="430"/>
    </row>
    <row r="126" spans="2:22" ht="17.75" customHeight="1">
      <c r="B126" s="191" t="s">
        <v>32</v>
      </c>
      <c r="C126" s="184">
        <f>Datos!$J$14</f>
        <v>2.5</v>
      </c>
      <c r="D126" s="184" t="s">
        <v>126</v>
      </c>
      <c r="E126" s="185"/>
      <c r="F126" s="192" t="s">
        <v>118</v>
      </c>
      <c r="G126" s="187" t="s">
        <v>32</v>
      </c>
      <c r="H126" s="193" t="s">
        <v>32</v>
      </c>
      <c r="I126" s="193" t="s">
        <v>32</v>
      </c>
      <c r="J126" s="194" t="s">
        <v>32</v>
      </c>
      <c r="K126" s="309"/>
      <c r="L126" s="188" t="str">
        <f t="shared" si="19"/>
        <v>-</v>
      </c>
      <c r="M126" s="190" t="s">
        <v>32</v>
      </c>
      <c r="N126" s="190" t="s">
        <v>32</v>
      </c>
      <c r="O126" s="190" t="s">
        <v>32</v>
      </c>
      <c r="P126" s="150" t="s">
        <v>32</v>
      </c>
      <c r="Q126" s="190" t="s">
        <v>32</v>
      </c>
      <c r="R126" s="189" t="s">
        <v>32</v>
      </c>
      <c r="S126" s="190" t="s">
        <v>32</v>
      </c>
      <c r="T126" s="195" t="str">
        <f>IF(K126="","-",ROUND(100*(L126-C126)/C126,1))</f>
        <v>-</v>
      </c>
      <c r="U126" s="431" t="str">
        <f>IF(K126="","-",IF(AND(T126&lt;=$T$15,T126&gt;=-$T$15),"Cumple","No cumple"))</f>
        <v>-</v>
      </c>
      <c r="V126" s="431"/>
    </row>
    <row r="127" spans="2:22" ht="17.75" customHeight="1">
      <c r="B127" s="191" t="s">
        <v>32</v>
      </c>
      <c r="C127" s="350"/>
      <c r="D127" s="350"/>
      <c r="E127" s="200"/>
      <c r="F127" s="192" t="s">
        <v>117</v>
      </c>
      <c r="G127" s="306"/>
      <c r="H127" s="307"/>
      <c r="I127" s="307"/>
      <c r="J127" s="308"/>
      <c r="K127" s="309"/>
      <c r="L127" s="188" t="str">
        <f t="shared" si="19"/>
        <v>-</v>
      </c>
      <c r="M127" s="196" t="str">
        <f t="shared" ref="M127:M148" si="26">IF(G127="","-",G127+(AA$10*G127))</f>
        <v>-</v>
      </c>
      <c r="N127" s="197" t="str">
        <f t="shared" ref="N127:N148" si="27">IF(H127="","-",IF(H127&lt;=X$19,H127*Z$18+AA$18,H127*Z$19+AA$19))</f>
        <v>-</v>
      </c>
      <c r="O127" s="188" t="str">
        <f t="shared" ref="O127:O148" si="28">IF(I127="","-",$Z$26)</f>
        <v>-</v>
      </c>
      <c r="P127" s="150" t="str">
        <f t="shared" ref="P127:P148" si="29">IF(J127="","-",IF(J127&lt;=AC$19,J127*AE$18+AF$18,J127*AE$19+AF$19))</f>
        <v>-</v>
      </c>
      <c r="Q127" s="198" t="str">
        <f>IF(K127="","-",(L127*(N127/M127)*(O127/P127)))</f>
        <v>-</v>
      </c>
      <c r="R127" s="189" t="s">
        <v>32</v>
      </c>
      <c r="S127" s="190" t="s">
        <v>32</v>
      </c>
      <c r="T127" s="199" t="s">
        <v>32</v>
      </c>
      <c r="U127" s="431" t="str">
        <f>IF(K127="","-",IF(AND(Q127&gt;=$V$17,VALUE(Q127)&lt;=$T$17),"Cumple","No Cumple"))</f>
        <v>-</v>
      </c>
      <c r="V127" s="431"/>
    </row>
    <row r="128" spans="2:22" ht="17.75" customHeight="1">
      <c r="B128" s="191" t="s">
        <v>191</v>
      </c>
      <c r="C128" s="350"/>
      <c r="D128" s="350"/>
      <c r="E128" s="200"/>
      <c r="F128" s="195" t="s">
        <v>11</v>
      </c>
      <c r="G128" s="308"/>
      <c r="H128" s="307"/>
      <c r="I128" s="307"/>
      <c r="J128" s="308"/>
      <c r="K128" s="310"/>
      <c r="L128" s="188" t="str">
        <f t="shared" si="19"/>
        <v>-</v>
      </c>
      <c r="M128" s="196" t="str">
        <f t="shared" si="26"/>
        <v>-</v>
      </c>
      <c r="N128" s="197" t="str">
        <f t="shared" si="27"/>
        <v>-</v>
      </c>
      <c r="O128" s="188" t="str">
        <f t="shared" si="28"/>
        <v>-</v>
      </c>
      <c r="P128" s="150" t="str">
        <f t="shared" si="29"/>
        <v>-</v>
      </c>
      <c r="Q128" s="198" t="str">
        <f t="shared" ref="Q128:Q148" si="30">IF(K128="","-",ROUND((L128*(N128/M128)*(O128/P128)),2))</f>
        <v>-</v>
      </c>
      <c r="R128" s="189" t="s">
        <v>32</v>
      </c>
      <c r="S128" s="190" t="s">
        <v>32</v>
      </c>
      <c r="T128" s="201" t="str">
        <f>IF(C128="","-",ROUND(2*(Q128-Q129)*100/(Q128+Q129),1))</f>
        <v>-</v>
      </c>
      <c r="U128" s="431" t="str">
        <f>IF(K128="","-",IF(AND(T128&lt;=$T$16,T128&gt;=-$T$16),"Cumple","No cumple"))</f>
        <v>-</v>
      </c>
      <c r="V128" s="431"/>
    </row>
    <row r="129" spans="2:22" ht="17.75" customHeight="1">
      <c r="B129" s="166">
        <f>IF(F129="M",COUNTIF($F$36:F129,"M"),"-")</f>
        <v>81</v>
      </c>
      <c r="C129" s="350"/>
      <c r="D129" s="350"/>
      <c r="E129" s="312"/>
      <c r="F129" s="183" t="s">
        <v>10</v>
      </c>
      <c r="G129" s="304"/>
      <c r="H129" s="307"/>
      <c r="I129" s="307"/>
      <c r="J129" s="308"/>
      <c r="K129" s="310"/>
      <c r="L129" s="188" t="str">
        <f t="shared" si="19"/>
        <v>-</v>
      </c>
      <c r="M129" s="196" t="str">
        <f t="shared" si="26"/>
        <v>-</v>
      </c>
      <c r="N129" s="197" t="str">
        <f t="shared" si="27"/>
        <v>-</v>
      </c>
      <c r="O129" s="188" t="str">
        <f t="shared" si="28"/>
        <v>-</v>
      </c>
      <c r="P129" s="150" t="str">
        <f t="shared" si="29"/>
        <v>-</v>
      </c>
      <c r="Q129" s="198" t="str">
        <f t="shared" si="30"/>
        <v>-</v>
      </c>
      <c r="R129" s="202" t="str">
        <f>IF(Q129="","-",IF(Q129&lt;$Q$19,"&lt; LC","-"))</f>
        <v>-</v>
      </c>
      <c r="S129" s="198" t="str">
        <f>IF(Q129="-","-",VLOOKUP(B129,'UEstandar-Uexp'!$A$125:$Z$324,11))</f>
        <v>-</v>
      </c>
      <c r="T129" s="190" t="s">
        <v>32</v>
      </c>
      <c r="U129" s="430" t="s">
        <v>32</v>
      </c>
      <c r="V129" s="430"/>
    </row>
    <row r="130" spans="2:22" ht="17.75" customHeight="1">
      <c r="B130" s="166">
        <f>IF(F130="M",COUNTIF($F$36:F130,"M"),"-")</f>
        <v>82</v>
      </c>
      <c r="C130" s="350"/>
      <c r="D130" s="350"/>
      <c r="E130" s="312"/>
      <c r="F130" s="183" t="s">
        <v>10</v>
      </c>
      <c r="G130" s="308"/>
      <c r="H130" s="307"/>
      <c r="I130" s="307"/>
      <c r="J130" s="308"/>
      <c r="K130" s="311"/>
      <c r="L130" s="188" t="str">
        <f t="shared" si="19"/>
        <v>-</v>
      </c>
      <c r="M130" s="196" t="str">
        <f t="shared" si="26"/>
        <v>-</v>
      </c>
      <c r="N130" s="197" t="str">
        <f t="shared" si="27"/>
        <v>-</v>
      </c>
      <c r="O130" s="188" t="str">
        <f t="shared" si="28"/>
        <v>-</v>
      </c>
      <c r="P130" s="150" t="str">
        <f t="shared" si="29"/>
        <v>-</v>
      </c>
      <c r="Q130" s="198" t="str">
        <f t="shared" si="30"/>
        <v>-</v>
      </c>
      <c r="R130" s="202" t="str">
        <f t="shared" ref="R130:R148" si="31">IF(Q130="","-",IF(Q130&lt;$Q$19,"&lt; LC","-"))</f>
        <v>-</v>
      </c>
      <c r="S130" s="198" t="str">
        <f>IF(Q130="-","-",VLOOKUP(B130,'UEstandar-Uexp'!$A$125:$Z$324,11))</f>
        <v>-</v>
      </c>
      <c r="T130" s="190" t="s">
        <v>32</v>
      </c>
      <c r="U130" s="430" t="s">
        <v>32</v>
      </c>
      <c r="V130" s="430"/>
    </row>
    <row r="131" spans="2:22" ht="17.75" customHeight="1">
      <c r="B131" s="166">
        <f>IF(F131="M",COUNTIF($F$36:F131,"M"),"-")</f>
        <v>83</v>
      </c>
      <c r="C131" s="350"/>
      <c r="D131" s="350"/>
      <c r="E131" s="312"/>
      <c r="F131" s="183" t="s">
        <v>10</v>
      </c>
      <c r="G131" s="308"/>
      <c r="H131" s="307"/>
      <c r="I131" s="307"/>
      <c r="J131" s="308"/>
      <c r="K131" s="311"/>
      <c r="L131" s="188" t="str">
        <f t="shared" si="19"/>
        <v>-</v>
      </c>
      <c r="M131" s="196" t="str">
        <f t="shared" si="26"/>
        <v>-</v>
      </c>
      <c r="N131" s="197" t="str">
        <f t="shared" si="27"/>
        <v>-</v>
      </c>
      <c r="O131" s="188" t="str">
        <f t="shared" si="28"/>
        <v>-</v>
      </c>
      <c r="P131" s="150" t="str">
        <f t="shared" si="29"/>
        <v>-</v>
      </c>
      <c r="Q131" s="198" t="str">
        <f t="shared" si="30"/>
        <v>-</v>
      </c>
      <c r="R131" s="202" t="str">
        <f t="shared" si="31"/>
        <v>-</v>
      </c>
      <c r="S131" s="198" t="str">
        <f>IF(Q131="-","-",VLOOKUP(B131,'UEstandar-Uexp'!$A$125:$Z$324,11))</f>
        <v>-</v>
      </c>
      <c r="T131" s="190" t="s">
        <v>32</v>
      </c>
      <c r="U131" s="430" t="s">
        <v>32</v>
      </c>
      <c r="V131" s="430"/>
    </row>
    <row r="132" spans="2:22" ht="17.75" customHeight="1">
      <c r="B132" s="166">
        <f>IF(F132="M",COUNTIF($F$36:F132,"M"),"-")</f>
        <v>84</v>
      </c>
      <c r="C132" s="350"/>
      <c r="D132" s="350"/>
      <c r="E132" s="312"/>
      <c r="F132" s="183" t="s">
        <v>10</v>
      </c>
      <c r="G132" s="308"/>
      <c r="H132" s="307"/>
      <c r="I132" s="307"/>
      <c r="J132" s="308"/>
      <c r="K132" s="311"/>
      <c r="L132" s="188" t="str">
        <f t="shared" si="19"/>
        <v>-</v>
      </c>
      <c r="M132" s="196" t="str">
        <f t="shared" si="26"/>
        <v>-</v>
      </c>
      <c r="N132" s="197" t="str">
        <f t="shared" si="27"/>
        <v>-</v>
      </c>
      <c r="O132" s="188" t="str">
        <f t="shared" si="28"/>
        <v>-</v>
      </c>
      <c r="P132" s="150" t="str">
        <f t="shared" si="29"/>
        <v>-</v>
      </c>
      <c r="Q132" s="198" t="str">
        <f t="shared" si="30"/>
        <v>-</v>
      </c>
      <c r="R132" s="202" t="str">
        <f t="shared" si="31"/>
        <v>-</v>
      </c>
      <c r="S132" s="198" t="str">
        <f>IF(Q132="-","-",VLOOKUP(B132,'UEstandar-Uexp'!$A$125:$Z$324,11))</f>
        <v>-</v>
      </c>
      <c r="T132" s="190" t="s">
        <v>32</v>
      </c>
      <c r="U132" s="430" t="s">
        <v>32</v>
      </c>
      <c r="V132" s="430"/>
    </row>
    <row r="133" spans="2:22" ht="17.75" customHeight="1">
      <c r="B133" s="166">
        <f>IF(F133="M",COUNTIF($F$36:F133,"M"),"-")</f>
        <v>85</v>
      </c>
      <c r="C133" s="350"/>
      <c r="D133" s="350"/>
      <c r="E133" s="312"/>
      <c r="F133" s="183" t="s">
        <v>10</v>
      </c>
      <c r="G133" s="308"/>
      <c r="H133" s="307"/>
      <c r="I133" s="307"/>
      <c r="J133" s="308"/>
      <c r="K133" s="311"/>
      <c r="L133" s="188" t="str">
        <f t="shared" si="19"/>
        <v>-</v>
      </c>
      <c r="M133" s="196" t="str">
        <f t="shared" si="26"/>
        <v>-</v>
      </c>
      <c r="N133" s="197" t="str">
        <f t="shared" si="27"/>
        <v>-</v>
      </c>
      <c r="O133" s="188" t="str">
        <f t="shared" si="28"/>
        <v>-</v>
      </c>
      <c r="P133" s="150" t="str">
        <f t="shared" si="29"/>
        <v>-</v>
      </c>
      <c r="Q133" s="198" t="str">
        <f t="shared" si="30"/>
        <v>-</v>
      </c>
      <c r="R133" s="202" t="str">
        <f t="shared" si="31"/>
        <v>-</v>
      </c>
      <c r="S133" s="198" t="str">
        <f>IF(Q133="-","-",VLOOKUP(B133,'UEstandar-Uexp'!$A$125:$Z$324,11))</f>
        <v>-</v>
      </c>
      <c r="T133" s="190" t="s">
        <v>32</v>
      </c>
      <c r="U133" s="430" t="s">
        <v>32</v>
      </c>
      <c r="V133" s="430"/>
    </row>
    <row r="134" spans="2:22" ht="17.75" customHeight="1">
      <c r="B134" s="166">
        <f>IF(F134="M",COUNTIF($F$36:F134,"M"),"-")</f>
        <v>86</v>
      </c>
      <c r="C134" s="350"/>
      <c r="D134" s="350"/>
      <c r="E134" s="312"/>
      <c r="F134" s="183" t="s">
        <v>10</v>
      </c>
      <c r="G134" s="308"/>
      <c r="H134" s="307"/>
      <c r="I134" s="307"/>
      <c r="J134" s="308"/>
      <c r="K134" s="311"/>
      <c r="L134" s="188" t="str">
        <f t="shared" si="19"/>
        <v>-</v>
      </c>
      <c r="M134" s="196" t="str">
        <f t="shared" si="26"/>
        <v>-</v>
      </c>
      <c r="N134" s="197" t="str">
        <f t="shared" si="27"/>
        <v>-</v>
      </c>
      <c r="O134" s="188" t="str">
        <f t="shared" si="28"/>
        <v>-</v>
      </c>
      <c r="P134" s="150" t="str">
        <f t="shared" si="29"/>
        <v>-</v>
      </c>
      <c r="Q134" s="198" t="str">
        <f t="shared" si="30"/>
        <v>-</v>
      </c>
      <c r="R134" s="202" t="str">
        <f t="shared" si="31"/>
        <v>-</v>
      </c>
      <c r="S134" s="198" t="str">
        <f>IF(Q134="-","-",VLOOKUP(B134,'UEstandar-Uexp'!$A$125:$Z$324,11))</f>
        <v>-</v>
      </c>
      <c r="T134" s="190" t="s">
        <v>32</v>
      </c>
      <c r="U134" s="430" t="s">
        <v>32</v>
      </c>
      <c r="V134" s="430"/>
    </row>
    <row r="135" spans="2:22" ht="17.75" customHeight="1">
      <c r="B135" s="166">
        <f>IF(F135="M",COUNTIF($F$36:F135,"M"),"-")</f>
        <v>87</v>
      </c>
      <c r="C135" s="350"/>
      <c r="D135" s="350"/>
      <c r="E135" s="312"/>
      <c r="F135" s="183" t="s">
        <v>10</v>
      </c>
      <c r="G135" s="306"/>
      <c r="H135" s="307"/>
      <c r="I135" s="307"/>
      <c r="J135" s="308"/>
      <c r="K135" s="311"/>
      <c r="L135" s="188" t="str">
        <f t="shared" si="19"/>
        <v>-</v>
      </c>
      <c r="M135" s="196" t="str">
        <f t="shared" si="26"/>
        <v>-</v>
      </c>
      <c r="N135" s="197" t="str">
        <f t="shared" si="27"/>
        <v>-</v>
      </c>
      <c r="O135" s="188" t="str">
        <f t="shared" si="28"/>
        <v>-</v>
      </c>
      <c r="P135" s="150" t="str">
        <f t="shared" si="29"/>
        <v>-</v>
      </c>
      <c r="Q135" s="198" t="str">
        <f t="shared" si="30"/>
        <v>-</v>
      </c>
      <c r="R135" s="202" t="str">
        <f t="shared" si="31"/>
        <v>-</v>
      </c>
      <c r="S135" s="198" t="str">
        <f>IF(Q135="-","-",VLOOKUP(B135,'UEstandar-Uexp'!$A$125:$Z$324,11))</f>
        <v>-</v>
      </c>
      <c r="T135" s="190" t="s">
        <v>32</v>
      </c>
      <c r="U135" s="430" t="s">
        <v>32</v>
      </c>
      <c r="V135" s="430"/>
    </row>
    <row r="136" spans="2:22" ht="17.75" customHeight="1">
      <c r="B136" s="166">
        <f>IF(F136="M",COUNTIF($F$36:F136,"M"),"-")</f>
        <v>88</v>
      </c>
      <c r="C136" s="350"/>
      <c r="D136" s="350"/>
      <c r="E136" s="312"/>
      <c r="F136" s="183" t="s">
        <v>10</v>
      </c>
      <c r="G136" s="308"/>
      <c r="H136" s="307"/>
      <c r="I136" s="307"/>
      <c r="J136" s="308"/>
      <c r="K136" s="311"/>
      <c r="L136" s="188" t="str">
        <f t="shared" si="19"/>
        <v>-</v>
      </c>
      <c r="M136" s="196" t="str">
        <f t="shared" si="26"/>
        <v>-</v>
      </c>
      <c r="N136" s="197" t="str">
        <f t="shared" si="27"/>
        <v>-</v>
      </c>
      <c r="O136" s="188" t="str">
        <f t="shared" si="28"/>
        <v>-</v>
      </c>
      <c r="P136" s="150" t="str">
        <f t="shared" si="29"/>
        <v>-</v>
      </c>
      <c r="Q136" s="198" t="str">
        <f t="shared" si="30"/>
        <v>-</v>
      </c>
      <c r="R136" s="202" t="str">
        <f t="shared" si="31"/>
        <v>-</v>
      </c>
      <c r="S136" s="198" t="str">
        <f>IF(Q136="-","-",VLOOKUP(B136,'UEstandar-Uexp'!$A$125:$Z$324,11))</f>
        <v>-</v>
      </c>
      <c r="T136" s="190" t="s">
        <v>32</v>
      </c>
      <c r="U136" s="430" t="s">
        <v>32</v>
      </c>
      <c r="V136" s="430"/>
    </row>
    <row r="137" spans="2:22" ht="17.75" customHeight="1">
      <c r="B137" s="166">
        <f>IF(F137="M",COUNTIF($F$36:F137,"M"),"-")</f>
        <v>89</v>
      </c>
      <c r="C137" s="350"/>
      <c r="D137" s="350"/>
      <c r="E137" s="312"/>
      <c r="F137" s="183" t="s">
        <v>10</v>
      </c>
      <c r="G137" s="304"/>
      <c r="H137" s="307"/>
      <c r="I137" s="307"/>
      <c r="J137" s="308"/>
      <c r="K137" s="311"/>
      <c r="L137" s="188" t="str">
        <f t="shared" si="19"/>
        <v>-</v>
      </c>
      <c r="M137" s="196" t="str">
        <f t="shared" si="26"/>
        <v>-</v>
      </c>
      <c r="N137" s="197" t="str">
        <f t="shared" si="27"/>
        <v>-</v>
      </c>
      <c r="O137" s="188" t="str">
        <f t="shared" si="28"/>
        <v>-</v>
      </c>
      <c r="P137" s="150" t="str">
        <f t="shared" si="29"/>
        <v>-</v>
      </c>
      <c r="Q137" s="198" t="str">
        <f t="shared" si="30"/>
        <v>-</v>
      </c>
      <c r="R137" s="202" t="str">
        <f t="shared" si="31"/>
        <v>-</v>
      </c>
      <c r="S137" s="198" t="str">
        <f>IF(Q137="-","-",VLOOKUP(B137,'UEstandar-Uexp'!$A$125:$Z$324,11))</f>
        <v>-</v>
      </c>
      <c r="T137" s="190" t="s">
        <v>32</v>
      </c>
      <c r="U137" s="430" t="s">
        <v>32</v>
      </c>
      <c r="V137" s="430"/>
    </row>
    <row r="138" spans="2:22" ht="17.75" customHeight="1">
      <c r="B138" s="166">
        <f>IF(F138="M",COUNTIF($F$36:F138,"M"),"-")</f>
        <v>90</v>
      </c>
      <c r="C138" s="350"/>
      <c r="D138" s="350"/>
      <c r="E138" s="312"/>
      <c r="F138" s="183" t="s">
        <v>10</v>
      </c>
      <c r="G138" s="308"/>
      <c r="H138" s="307"/>
      <c r="I138" s="307"/>
      <c r="J138" s="308"/>
      <c r="K138" s="309"/>
      <c r="L138" s="188" t="str">
        <f t="shared" si="19"/>
        <v>-</v>
      </c>
      <c r="M138" s="196" t="str">
        <f t="shared" si="26"/>
        <v>-</v>
      </c>
      <c r="N138" s="197" t="str">
        <f t="shared" si="27"/>
        <v>-</v>
      </c>
      <c r="O138" s="188" t="str">
        <f t="shared" si="28"/>
        <v>-</v>
      </c>
      <c r="P138" s="150" t="str">
        <f t="shared" si="29"/>
        <v>-</v>
      </c>
      <c r="Q138" s="198" t="str">
        <f t="shared" si="30"/>
        <v>-</v>
      </c>
      <c r="R138" s="202" t="str">
        <f t="shared" si="31"/>
        <v>-</v>
      </c>
      <c r="S138" s="198" t="str">
        <f>IF(Q138="-","-",VLOOKUP(B138,'UEstandar-Uexp'!$A$125:$Z$324,11))</f>
        <v>-</v>
      </c>
      <c r="T138" s="190" t="s">
        <v>32</v>
      </c>
      <c r="U138" s="430" t="s">
        <v>32</v>
      </c>
      <c r="V138" s="430"/>
    </row>
    <row r="139" spans="2:22" ht="17.75" customHeight="1">
      <c r="B139" s="166">
        <f>IF(F139="M",COUNTIF($F$36:F139,"M"),"-")</f>
        <v>91</v>
      </c>
      <c r="C139" s="350"/>
      <c r="D139" s="350"/>
      <c r="E139" s="312"/>
      <c r="F139" s="183" t="s">
        <v>10</v>
      </c>
      <c r="G139" s="308"/>
      <c r="H139" s="307"/>
      <c r="I139" s="307"/>
      <c r="J139" s="308"/>
      <c r="K139" s="309"/>
      <c r="L139" s="188" t="str">
        <f t="shared" si="19"/>
        <v>-</v>
      </c>
      <c r="M139" s="196" t="str">
        <f t="shared" si="26"/>
        <v>-</v>
      </c>
      <c r="N139" s="197" t="str">
        <f t="shared" si="27"/>
        <v>-</v>
      </c>
      <c r="O139" s="188" t="str">
        <f t="shared" si="28"/>
        <v>-</v>
      </c>
      <c r="P139" s="150" t="str">
        <f t="shared" si="29"/>
        <v>-</v>
      </c>
      <c r="Q139" s="198" t="str">
        <f t="shared" si="30"/>
        <v>-</v>
      </c>
      <c r="R139" s="202" t="str">
        <f t="shared" si="31"/>
        <v>-</v>
      </c>
      <c r="S139" s="198" t="str">
        <f>IF(Q139="-","-",VLOOKUP(B139,'UEstandar-Uexp'!$A$125:$Z$324,11))</f>
        <v>-</v>
      </c>
      <c r="T139" s="190" t="s">
        <v>32</v>
      </c>
      <c r="U139" s="430" t="s">
        <v>32</v>
      </c>
      <c r="V139" s="430"/>
    </row>
    <row r="140" spans="2:22" ht="17.75" customHeight="1">
      <c r="B140" s="166">
        <f>IF(F140="M",COUNTIF($F$36:F140,"M"),"-")</f>
        <v>92</v>
      </c>
      <c r="C140" s="350"/>
      <c r="D140" s="350"/>
      <c r="E140" s="312"/>
      <c r="F140" s="183" t="s">
        <v>10</v>
      </c>
      <c r="G140" s="308"/>
      <c r="H140" s="307"/>
      <c r="I140" s="307"/>
      <c r="J140" s="308"/>
      <c r="K140" s="309"/>
      <c r="L140" s="188" t="str">
        <f t="shared" si="19"/>
        <v>-</v>
      </c>
      <c r="M140" s="196" t="str">
        <f t="shared" si="26"/>
        <v>-</v>
      </c>
      <c r="N140" s="197" t="str">
        <f t="shared" si="27"/>
        <v>-</v>
      </c>
      <c r="O140" s="188" t="str">
        <f t="shared" si="28"/>
        <v>-</v>
      </c>
      <c r="P140" s="150" t="str">
        <f t="shared" si="29"/>
        <v>-</v>
      </c>
      <c r="Q140" s="198" t="str">
        <f t="shared" si="30"/>
        <v>-</v>
      </c>
      <c r="R140" s="202" t="str">
        <f t="shared" si="31"/>
        <v>-</v>
      </c>
      <c r="S140" s="198" t="str">
        <f>IF(Q140="-","-",VLOOKUP(B140,'UEstandar-Uexp'!$A$125:$Z$324,11))</f>
        <v>-</v>
      </c>
      <c r="T140" s="190" t="s">
        <v>32</v>
      </c>
      <c r="U140" s="430" t="s">
        <v>32</v>
      </c>
      <c r="V140" s="430"/>
    </row>
    <row r="141" spans="2:22" ht="17.75" customHeight="1">
      <c r="B141" s="166">
        <f>IF(F141="M",COUNTIF($F$36:F141,"M"),"-")</f>
        <v>93</v>
      </c>
      <c r="C141" s="350"/>
      <c r="D141" s="350"/>
      <c r="E141" s="312"/>
      <c r="F141" s="183" t="s">
        <v>10</v>
      </c>
      <c r="G141" s="306"/>
      <c r="H141" s="307"/>
      <c r="I141" s="307"/>
      <c r="J141" s="308"/>
      <c r="K141" s="309"/>
      <c r="L141" s="188" t="str">
        <f t="shared" si="19"/>
        <v>-</v>
      </c>
      <c r="M141" s="196" t="str">
        <f t="shared" si="26"/>
        <v>-</v>
      </c>
      <c r="N141" s="197" t="str">
        <f t="shared" si="27"/>
        <v>-</v>
      </c>
      <c r="O141" s="188" t="str">
        <f t="shared" si="28"/>
        <v>-</v>
      </c>
      <c r="P141" s="150" t="str">
        <f t="shared" si="29"/>
        <v>-</v>
      </c>
      <c r="Q141" s="198" t="str">
        <f t="shared" si="30"/>
        <v>-</v>
      </c>
      <c r="R141" s="202" t="str">
        <f t="shared" si="31"/>
        <v>-</v>
      </c>
      <c r="S141" s="198" t="str">
        <f>IF(Q141="-","-",VLOOKUP(B141,'UEstandar-Uexp'!$A$125:$Z$324,11))</f>
        <v>-</v>
      </c>
      <c r="T141" s="190" t="s">
        <v>32</v>
      </c>
      <c r="U141" s="430" t="s">
        <v>32</v>
      </c>
      <c r="V141" s="430"/>
    </row>
    <row r="142" spans="2:22" ht="17.75" customHeight="1">
      <c r="B142" s="166">
        <f>IF(F142="M",COUNTIF($F$36:F142,"M"),"-")</f>
        <v>94</v>
      </c>
      <c r="C142" s="350"/>
      <c r="D142" s="350"/>
      <c r="E142" s="312"/>
      <c r="F142" s="183" t="s">
        <v>10</v>
      </c>
      <c r="G142" s="308"/>
      <c r="H142" s="307"/>
      <c r="I142" s="307"/>
      <c r="J142" s="308"/>
      <c r="K142" s="309"/>
      <c r="L142" s="188" t="str">
        <f t="shared" si="19"/>
        <v>-</v>
      </c>
      <c r="M142" s="196" t="str">
        <f t="shared" si="26"/>
        <v>-</v>
      </c>
      <c r="N142" s="197" t="str">
        <f t="shared" si="27"/>
        <v>-</v>
      </c>
      <c r="O142" s="188" t="str">
        <f t="shared" si="28"/>
        <v>-</v>
      </c>
      <c r="P142" s="150" t="str">
        <f t="shared" si="29"/>
        <v>-</v>
      </c>
      <c r="Q142" s="198" t="str">
        <f t="shared" si="30"/>
        <v>-</v>
      </c>
      <c r="R142" s="202" t="str">
        <f t="shared" si="31"/>
        <v>-</v>
      </c>
      <c r="S142" s="198" t="str">
        <f>IF(Q142="-","-",VLOOKUP(B142,'UEstandar-Uexp'!$A$125:$Z$324,11))</f>
        <v>-</v>
      </c>
      <c r="T142" s="190" t="s">
        <v>32</v>
      </c>
      <c r="U142" s="430" t="s">
        <v>32</v>
      </c>
      <c r="V142" s="430"/>
    </row>
    <row r="143" spans="2:22" ht="17.75" customHeight="1">
      <c r="B143" s="166">
        <f>IF(F143="M",COUNTIF($F$36:F143,"M"),"-")</f>
        <v>95</v>
      </c>
      <c r="C143" s="350"/>
      <c r="D143" s="350"/>
      <c r="E143" s="312"/>
      <c r="F143" s="183" t="s">
        <v>10</v>
      </c>
      <c r="G143" s="304"/>
      <c r="H143" s="307"/>
      <c r="I143" s="307"/>
      <c r="J143" s="308"/>
      <c r="K143" s="309"/>
      <c r="L143" s="188" t="str">
        <f t="shared" si="19"/>
        <v>-</v>
      </c>
      <c r="M143" s="196" t="str">
        <f t="shared" si="26"/>
        <v>-</v>
      </c>
      <c r="N143" s="197" t="str">
        <f t="shared" si="27"/>
        <v>-</v>
      </c>
      <c r="O143" s="188" t="str">
        <f t="shared" si="28"/>
        <v>-</v>
      </c>
      <c r="P143" s="150" t="str">
        <f t="shared" si="29"/>
        <v>-</v>
      </c>
      <c r="Q143" s="198" t="str">
        <f t="shared" si="30"/>
        <v>-</v>
      </c>
      <c r="R143" s="202" t="str">
        <f t="shared" si="31"/>
        <v>-</v>
      </c>
      <c r="S143" s="198" t="str">
        <f>IF(Q143="-","-",VLOOKUP(B143,'UEstandar-Uexp'!$A$125:$Z$324,11))</f>
        <v>-</v>
      </c>
      <c r="T143" s="190" t="s">
        <v>32</v>
      </c>
      <c r="U143" s="430" t="s">
        <v>32</v>
      </c>
      <c r="V143" s="430"/>
    </row>
    <row r="144" spans="2:22" ht="17.75" customHeight="1">
      <c r="B144" s="166">
        <f>IF(F144="M",COUNTIF($F$36:F144,"M"),"-")</f>
        <v>96</v>
      </c>
      <c r="C144" s="350"/>
      <c r="D144" s="350"/>
      <c r="E144" s="312"/>
      <c r="F144" s="183" t="s">
        <v>10</v>
      </c>
      <c r="G144" s="308"/>
      <c r="H144" s="307"/>
      <c r="I144" s="307"/>
      <c r="J144" s="308"/>
      <c r="K144" s="310"/>
      <c r="L144" s="188" t="str">
        <f t="shared" si="19"/>
        <v>-</v>
      </c>
      <c r="M144" s="196" t="str">
        <f t="shared" si="26"/>
        <v>-</v>
      </c>
      <c r="N144" s="197" t="str">
        <f t="shared" si="27"/>
        <v>-</v>
      </c>
      <c r="O144" s="188" t="str">
        <f t="shared" si="28"/>
        <v>-</v>
      </c>
      <c r="P144" s="150" t="str">
        <f t="shared" si="29"/>
        <v>-</v>
      </c>
      <c r="Q144" s="198" t="str">
        <f t="shared" si="30"/>
        <v>-</v>
      </c>
      <c r="R144" s="202" t="str">
        <f t="shared" si="31"/>
        <v>-</v>
      </c>
      <c r="S144" s="198" t="str">
        <f>IF(Q144="-","-",VLOOKUP(B144,'UEstandar-Uexp'!$A$125:$Z$324,11))</f>
        <v>-</v>
      </c>
      <c r="T144" s="190" t="s">
        <v>32</v>
      </c>
      <c r="U144" s="430" t="s">
        <v>32</v>
      </c>
      <c r="V144" s="430"/>
    </row>
    <row r="145" spans="1:33" ht="17.75" customHeight="1">
      <c r="B145" s="166">
        <f>IF(F145="M",COUNTIF($F$36:F145,"M"),"-")</f>
        <v>97</v>
      </c>
      <c r="C145" s="350"/>
      <c r="D145" s="350"/>
      <c r="E145" s="312"/>
      <c r="F145" s="183" t="s">
        <v>10</v>
      </c>
      <c r="G145" s="308"/>
      <c r="H145" s="307"/>
      <c r="I145" s="307"/>
      <c r="J145" s="308"/>
      <c r="K145" s="310"/>
      <c r="L145" s="188" t="str">
        <f t="shared" si="19"/>
        <v>-</v>
      </c>
      <c r="M145" s="196" t="str">
        <f t="shared" si="26"/>
        <v>-</v>
      </c>
      <c r="N145" s="197" t="str">
        <f t="shared" si="27"/>
        <v>-</v>
      </c>
      <c r="O145" s="188" t="str">
        <f t="shared" si="28"/>
        <v>-</v>
      </c>
      <c r="P145" s="150" t="str">
        <f t="shared" si="29"/>
        <v>-</v>
      </c>
      <c r="Q145" s="198" t="str">
        <f t="shared" si="30"/>
        <v>-</v>
      </c>
      <c r="R145" s="202" t="str">
        <f t="shared" si="31"/>
        <v>-</v>
      </c>
      <c r="S145" s="198" t="str">
        <f>IF(Q145="-","-",VLOOKUP(B145,'UEstandar-Uexp'!$A$125:$Z$324,11))</f>
        <v>-</v>
      </c>
      <c r="T145" s="190" t="s">
        <v>32</v>
      </c>
      <c r="U145" s="430" t="s">
        <v>32</v>
      </c>
      <c r="V145" s="430"/>
    </row>
    <row r="146" spans="1:33" ht="17.75" customHeight="1">
      <c r="B146" s="166">
        <f>IF(F146="M",COUNTIF($F$36:F146,"M"),"-")</f>
        <v>98</v>
      </c>
      <c r="C146" s="350"/>
      <c r="D146" s="350"/>
      <c r="E146" s="312"/>
      <c r="F146" s="183" t="s">
        <v>10</v>
      </c>
      <c r="G146" s="308"/>
      <c r="H146" s="307"/>
      <c r="I146" s="307"/>
      <c r="J146" s="308"/>
      <c r="K146" s="311"/>
      <c r="L146" s="188" t="str">
        <f t="shared" si="19"/>
        <v>-</v>
      </c>
      <c r="M146" s="196" t="str">
        <f t="shared" si="26"/>
        <v>-</v>
      </c>
      <c r="N146" s="197" t="str">
        <f t="shared" si="27"/>
        <v>-</v>
      </c>
      <c r="O146" s="188" t="str">
        <f t="shared" si="28"/>
        <v>-</v>
      </c>
      <c r="P146" s="150" t="str">
        <f t="shared" si="29"/>
        <v>-</v>
      </c>
      <c r="Q146" s="198" t="str">
        <f t="shared" si="30"/>
        <v>-</v>
      </c>
      <c r="R146" s="202" t="str">
        <f t="shared" si="31"/>
        <v>-</v>
      </c>
      <c r="S146" s="198" t="str">
        <f>IF(Q146="-","-",VLOOKUP(B146,'UEstandar-Uexp'!$A$125:$Z$324,11))</f>
        <v>-</v>
      </c>
      <c r="T146" s="190" t="s">
        <v>32</v>
      </c>
      <c r="U146" s="430" t="s">
        <v>32</v>
      </c>
      <c r="V146" s="430"/>
    </row>
    <row r="147" spans="1:33" ht="17.75" customHeight="1">
      <c r="B147" s="166">
        <f>IF(F147="M",COUNTIF($F$36:F147,"M"),"-")</f>
        <v>99</v>
      </c>
      <c r="C147" s="350"/>
      <c r="D147" s="350"/>
      <c r="E147" s="312"/>
      <c r="F147" s="183" t="s">
        <v>10</v>
      </c>
      <c r="G147" s="308"/>
      <c r="H147" s="307"/>
      <c r="I147" s="307"/>
      <c r="J147" s="308"/>
      <c r="K147" s="311"/>
      <c r="L147" s="188" t="str">
        <f t="shared" si="19"/>
        <v>-</v>
      </c>
      <c r="M147" s="196" t="str">
        <f t="shared" si="26"/>
        <v>-</v>
      </c>
      <c r="N147" s="197" t="str">
        <f t="shared" si="27"/>
        <v>-</v>
      </c>
      <c r="O147" s="188" t="str">
        <f t="shared" si="28"/>
        <v>-</v>
      </c>
      <c r="P147" s="150" t="str">
        <f t="shared" si="29"/>
        <v>-</v>
      </c>
      <c r="Q147" s="198" t="str">
        <f t="shared" si="30"/>
        <v>-</v>
      </c>
      <c r="R147" s="202" t="str">
        <f t="shared" si="31"/>
        <v>-</v>
      </c>
      <c r="S147" s="198" t="str">
        <f>IF(Q147="-","-",VLOOKUP(B147,'UEstandar-Uexp'!$A$125:$Z$324,11))</f>
        <v>-</v>
      </c>
      <c r="T147" s="190" t="s">
        <v>32</v>
      </c>
      <c r="U147" s="430" t="s">
        <v>32</v>
      </c>
      <c r="V147" s="430"/>
    </row>
    <row r="148" spans="1:33" ht="17.75" customHeight="1">
      <c r="B148" s="166">
        <f>IF(F148="M",COUNTIF($F$36:F148,"M"),"-")</f>
        <v>100</v>
      </c>
      <c r="C148" s="350"/>
      <c r="D148" s="350"/>
      <c r="E148" s="312"/>
      <c r="F148" s="183" t="s">
        <v>10</v>
      </c>
      <c r="G148" s="308"/>
      <c r="H148" s="307"/>
      <c r="I148" s="307"/>
      <c r="J148" s="308"/>
      <c r="K148" s="311"/>
      <c r="L148" s="188" t="str">
        <f t="shared" si="19"/>
        <v>-</v>
      </c>
      <c r="M148" s="196" t="str">
        <f t="shared" si="26"/>
        <v>-</v>
      </c>
      <c r="N148" s="197" t="str">
        <f t="shared" si="27"/>
        <v>-</v>
      </c>
      <c r="O148" s="188" t="str">
        <f t="shared" si="28"/>
        <v>-</v>
      </c>
      <c r="P148" s="150" t="str">
        <f t="shared" si="29"/>
        <v>-</v>
      </c>
      <c r="Q148" s="198" t="str">
        <f t="shared" si="30"/>
        <v>-</v>
      </c>
      <c r="R148" s="202" t="str">
        <f t="shared" si="31"/>
        <v>-</v>
      </c>
      <c r="S148" s="198" t="str">
        <f>IF(Q148="-","-",VLOOKUP(B148,'UEstandar-Uexp'!$A$125:$Z$324,11))</f>
        <v>-</v>
      </c>
      <c r="T148" s="190" t="s">
        <v>32</v>
      </c>
      <c r="U148" s="430" t="s">
        <v>32</v>
      </c>
      <c r="V148" s="430"/>
      <c r="X148" s="151"/>
      <c r="Y148" s="151"/>
      <c r="Z148" s="151"/>
      <c r="AA148" s="151"/>
      <c r="AB148" s="156"/>
      <c r="AC148" s="156"/>
      <c r="AD148" s="156"/>
      <c r="AE148" s="156"/>
      <c r="AF148" s="156"/>
      <c r="AG148" s="156"/>
    </row>
    <row r="149" spans="1:33" s="151" customFormat="1" ht="17.75" customHeight="1">
      <c r="A149" s="149"/>
      <c r="B149" s="191" t="s">
        <v>32</v>
      </c>
      <c r="C149" s="184">
        <f>Datos!$J$14</f>
        <v>2.5</v>
      </c>
      <c r="D149" s="184" t="s">
        <v>126</v>
      </c>
      <c r="E149" s="185"/>
      <c r="F149" s="192" t="s">
        <v>118</v>
      </c>
      <c r="G149" s="187" t="s">
        <v>32</v>
      </c>
      <c r="H149" s="193" t="s">
        <v>32</v>
      </c>
      <c r="I149" s="193" t="s">
        <v>32</v>
      </c>
      <c r="J149" s="194" t="s">
        <v>32</v>
      </c>
      <c r="K149" s="309"/>
      <c r="L149" s="188" t="str">
        <f t="shared" si="19"/>
        <v>-</v>
      </c>
      <c r="M149" s="190" t="s">
        <v>32</v>
      </c>
      <c r="N149" s="190" t="s">
        <v>32</v>
      </c>
      <c r="O149" s="190" t="s">
        <v>32</v>
      </c>
      <c r="P149" s="150" t="s">
        <v>32</v>
      </c>
      <c r="Q149" s="190" t="s">
        <v>32</v>
      </c>
      <c r="R149" s="189" t="s">
        <v>32</v>
      </c>
      <c r="S149" s="190" t="s">
        <v>32</v>
      </c>
      <c r="T149" s="195" t="str">
        <f>IF(K149="","-",ROUND(100*(L149-C149)/C149,1))</f>
        <v>-</v>
      </c>
      <c r="U149" s="431" t="str">
        <f>IF(K149="","-",IF(AND(T149&lt;=$T$15,T149&gt;=-$T$15),"Cumple","No cumple"))</f>
        <v>-</v>
      </c>
      <c r="V149" s="431"/>
    </row>
    <row r="150" spans="1:33" s="151" customFormat="1" ht="17.75" customHeight="1">
      <c r="A150" s="149"/>
      <c r="B150" s="191" t="s">
        <v>32</v>
      </c>
      <c r="C150" s="350"/>
      <c r="D150" s="350"/>
      <c r="E150" s="200"/>
      <c r="F150" s="192" t="s">
        <v>117</v>
      </c>
      <c r="G150" s="306"/>
      <c r="H150" s="307"/>
      <c r="I150" s="307"/>
      <c r="J150" s="308"/>
      <c r="K150" s="309"/>
      <c r="L150" s="188" t="str">
        <f t="shared" si="19"/>
        <v>-</v>
      </c>
      <c r="M150" s="196" t="str">
        <f t="shared" ref="M150:M171" si="32">IF(G150="","-",G150+(AA$10*G150))</f>
        <v>-</v>
      </c>
      <c r="N150" s="197" t="str">
        <f t="shared" ref="N150:N171" si="33">IF(H150="","-",IF(H150&lt;=X$19,H150*Z$18+AA$18,H150*Z$19+AA$19))</f>
        <v>-</v>
      </c>
      <c r="O150" s="188" t="str">
        <f t="shared" ref="O150:O171" si="34">IF(I150="","-",$Z$26)</f>
        <v>-</v>
      </c>
      <c r="P150" s="150" t="str">
        <f t="shared" ref="P150:P171" si="35">IF(J150="","-",IF(J150&lt;=AC$19,J150*AE$18+AF$18,J150*AE$19+AF$19))</f>
        <v>-</v>
      </c>
      <c r="Q150" s="198" t="str">
        <f>IF(K150="","-",(L150*(N150/M150)*(O150/P150)))</f>
        <v>-</v>
      </c>
      <c r="R150" s="189" t="s">
        <v>32</v>
      </c>
      <c r="S150" s="190" t="s">
        <v>32</v>
      </c>
      <c r="T150" s="199" t="s">
        <v>32</v>
      </c>
      <c r="U150" s="431" t="str">
        <f>IF(K150="","-",IF(AND(Q150&gt;=$V$17,VALUE(Q150)&lt;=$T$17),"Cumple","No Cumple"))</f>
        <v>-</v>
      </c>
      <c r="V150" s="431"/>
    </row>
    <row r="151" spans="1:33" s="151" customFormat="1" ht="17.75" customHeight="1">
      <c r="A151" s="149"/>
      <c r="B151" s="191" t="s">
        <v>192</v>
      </c>
      <c r="C151" s="350"/>
      <c r="D151" s="350"/>
      <c r="E151" s="200"/>
      <c r="F151" s="195" t="s">
        <v>11</v>
      </c>
      <c r="G151" s="308"/>
      <c r="H151" s="307"/>
      <c r="I151" s="307"/>
      <c r="J151" s="308"/>
      <c r="K151" s="310"/>
      <c r="L151" s="188" t="str">
        <f t="shared" si="19"/>
        <v>-</v>
      </c>
      <c r="M151" s="196" t="str">
        <f t="shared" si="32"/>
        <v>-</v>
      </c>
      <c r="N151" s="197" t="str">
        <f t="shared" si="33"/>
        <v>-</v>
      </c>
      <c r="O151" s="188" t="str">
        <f t="shared" si="34"/>
        <v>-</v>
      </c>
      <c r="P151" s="150" t="str">
        <f t="shared" si="35"/>
        <v>-</v>
      </c>
      <c r="Q151" s="198" t="str">
        <f t="shared" ref="Q151:Q171" si="36">IF(K151="","-",ROUND((L151*(N151/M151)*(O151/P151)),2))</f>
        <v>-</v>
      </c>
      <c r="R151" s="189" t="s">
        <v>32</v>
      </c>
      <c r="S151" s="190" t="s">
        <v>32</v>
      </c>
      <c r="T151" s="201" t="str">
        <f>IF(C151="","-",ROUND(2*(Q151-Q152)*100/(Q151+Q152),1))</f>
        <v>-</v>
      </c>
      <c r="U151" s="431" t="str">
        <f>IF(K151="","-",IF(AND(T151&lt;=$T$16,T151&gt;=-$T$16),"Cumple","No cumple"))</f>
        <v>-</v>
      </c>
      <c r="V151" s="431"/>
    </row>
    <row r="152" spans="1:33" s="151" customFormat="1" ht="17.75" customHeight="1">
      <c r="A152" s="149"/>
      <c r="B152" s="166">
        <f>IF(F152="M",COUNTIF($F$36:F152,"M"),"-")</f>
        <v>101</v>
      </c>
      <c r="C152" s="350"/>
      <c r="D152" s="350"/>
      <c r="E152" s="312"/>
      <c r="F152" s="183" t="s">
        <v>10</v>
      </c>
      <c r="G152" s="304"/>
      <c r="H152" s="307"/>
      <c r="I152" s="307"/>
      <c r="J152" s="308"/>
      <c r="K152" s="310"/>
      <c r="L152" s="188" t="str">
        <f t="shared" si="19"/>
        <v>-</v>
      </c>
      <c r="M152" s="196" t="str">
        <f t="shared" si="32"/>
        <v>-</v>
      </c>
      <c r="N152" s="197" t="str">
        <f t="shared" si="33"/>
        <v>-</v>
      </c>
      <c r="O152" s="188" t="str">
        <f t="shared" si="34"/>
        <v>-</v>
      </c>
      <c r="P152" s="150" t="str">
        <f t="shared" si="35"/>
        <v>-</v>
      </c>
      <c r="Q152" s="198" t="str">
        <f t="shared" si="36"/>
        <v>-</v>
      </c>
      <c r="R152" s="202" t="str">
        <f>IF(Q152="","-",IF(Q152&lt;$Q$19,"&lt; LC","-"))</f>
        <v>-</v>
      </c>
      <c r="S152" s="198" t="str">
        <f>IF(Q152="-","-",VLOOKUP(B152,'UEstandar-Uexp'!$A$125:$Z$324,11))</f>
        <v>-</v>
      </c>
      <c r="T152" s="190" t="s">
        <v>32</v>
      </c>
      <c r="U152" s="430" t="s">
        <v>32</v>
      </c>
      <c r="V152" s="430"/>
    </row>
    <row r="153" spans="1:33" s="151" customFormat="1" ht="17.75" customHeight="1">
      <c r="A153" s="149"/>
      <c r="B153" s="166">
        <f>IF(F153="M",COUNTIF($F$36:F153,"M"),"-")</f>
        <v>102</v>
      </c>
      <c r="C153" s="350"/>
      <c r="D153" s="350"/>
      <c r="E153" s="312"/>
      <c r="F153" s="183" t="s">
        <v>10</v>
      </c>
      <c r="G153" s="308"/>
      <c r="H153" s="307"/>
      <c r="I153" s="307"/>
      <c r="J153" s="308"/>
      <c r="K153" s="311"/>
      <c r="L153" s="188" t="str">
        <f t="shared" si="19"/>
        <v>-</v>
      </c>
      <c r="M153" s="196" t="str">
        <f t="shared" si="32"/>
        <v>-</v>
      </c>
      <c r="N153" s="197" t="str">
        <f t="shared" si="33"/>
        <v>-</v>
      </c>
      <c r="O153" s="188" t="str">
        <f t="shared" si="34"/>
        <v>-</v>
      </c>
      <c r="P153" s="150" t="str">
        <f t="shared" si="35"/>
        <v>-</v>
      </c>
      <c r="Q153" s="198" t="str">
        <f t="shared" si="36"/>
        <v>-</v>
      </c>
      <c r="R153" s="202" t="str">
        <f t="shared" ref="R153:R171" si="37">IF(Q153="","-",IF(Q153&lt;$Q$19,"&lt; LC","-"))</f>
        <v>-</v>
      </c>
      <c r="S153" s="198" t="str">
        <f>IF(Q153="-","-",VLOOKUP(B153,'UEstandar-Uexp'!$A$125:$Z$324,11))</f>
        <v>-</v>
      </c>
      <c r="T153" s="190" t="s">
        <v>32</v>
      </c>
      <c r="U153" s="430" t="s">
        <v>32</v>
      </c>
      <c r="V153" s="430"/>
    </row>
    <row r="154" spans="1:33" s="151" customFormat="1" ht="17.75" customHeight="1">
      <c r="A154" s="149"/>
      <c r="B154" s="166">
        <f>IF(F154="M",COUNTIF($F$36:F154,"M"),"-")</f>
        <v>103</v>
      </c>
      <c r="C154" s="350"/>
      <c r="D154" s="350"/>
      <c r="E154" s="312"/>
      <c r="F154" s="183" t="s">
        <v>10</v>
      </c>
      <c r="G154" s="308"/>
      <c r="H154" s="307"/>
      <c r="I154" s="307"/>
      <c r="J154" s="308"/>
      <c r="K154" s="311"/>
      <c r="L154" s="188" t="str">
        <f t="shared" si="19"/>
        <v>-</v>
      </c>
      <c r="M154" s="196" t="str">
        <f t="shared" si="32"/>
        <v>-</v>
      </c>
      <c r="N154" s="197" t="str">
        <f t="shared" si="33"/>
        <v>-</v>
      </c>
      <c r="O154" s="188" t="str">
        <f t="shared" si="34"/>
        <v>-</v>
      </c>
      <c r="P154" s="150" t="str">
        <f t="shared" si="35"/>
        <v>-</v>
      </c>
      <c r="Q154" s="198" t="str">
        <f t="shared" si="36"/>
        <v>-</v>
      </c>
      <c r="R154" s="202" t="str">
        <f t="shared" si="37"/>
        <v>-</v>
      </c>
      <c r="S154" s="198" t="str">
        <f>IF(Q154="-","-",VLOOKUP(B154,'UEstandar-Uexp'!$A$125:$Z$324,11))</f>
        <v>-</v>
      </c>
      <c r="T154" s="190" t="s">
        <v>32</v>
      </c>
      <c r="U154" s="430" t="s">
        <v>32</v>
      </c>
      <c r="V154" s="430"/>
    </row>
    <row r="155" spans="1:33" s="151" customFormat="1" ht="17.75" customHeight="1">
      <c r="A155" s="149"/>
      <c r="B155" s="166">
        <f>IF(F155="M",COUNTIF($F$36:F155,"M"),"-")</f>
        <v>104</v>
      </c>
      <c r="C155" s="350"/>
      <c r="D155" s="350"/>
      <c r="E155" s="312"/>
      <c r="F155" s="183" t="s">
        <v>10</v>
      </c>
      <c r="G155" s="308"/>
      <c r="H155" s="307"/>
      <c r="I155" s="307"/>
      <c r="J155" s="308"/>
      <c r="K155" s="311"/>
      <c r="L155" s="188" t="str">
        <f t="shared" si="19"/>
        <v>-</v>
      </c>
      <c r="M155" s="196" t="str">
        <f t="shared" si="32"/>
        <v>-</v>
      </c>
      <c r="N155" s="197" t="str">
        <f t="shared" si="33"/>
        <v>-</v>
      </c>
      <c r="O155" s="188" t="str">
        <f t="shared" si="34"/>
        <v>-</v>
      </c>
      <c r="P155" s="150" t="str">
        <f t="shared" si="35"/>
        <v>-</v>
      </c>
      <c r="Q155" s="198" t="str">
        <f t="shared" si="36"/>
        <v>-</v>
      </c>
      <c r="R155" s="202" t="str">
        <f t="shared" si="37"/>
        <v>-</v>
      </c>
      <c r="S155" s="198" t="str">
        <f>IF(Q155="-","-",VLOOKUP(B155,'UEstandar-Uexp'!$A$125:$Z$324,11))</f>
        <v>-</v>
      </c>
      <c r="T155" s="190" t="s">
        <v>32</v>
      </c>
      <c r="U155" s="430" t="s">
        <v>32</v>
      </c>
      <c r="V155" s="430"/>
    </row>
    <row r="156" spans="1:33" s="151" customFormat="1" ht="17.75" customHeight="1">
      <c r="A156" s="149"/>
      <c r="B156" s="166">
        <f>IF(F156="M",COUNTIF($F$36:F156,"M"),"-")</f>
        <v>105</v>
      </c>
      <c r="C156" s="350"/>
      <c r="D156" s="350"/>
      <c r="E156" s="312"/>
      <c r="F156" s="183" t="s">
        <v>10</v>
      </c>
      <c r="G156" s="308"/>
      <c r="H156" s="307"/>
      <c r="I156" s="307"/>
      <c r="J156" s="308"/>
      <c r="K156" s="311"/>
      <c r="L156" s="188" t="str">
        <f t="shared" si="19"/>
        <v>-</v>
      </c>
      <c r="M156" s="196" t="str">
        <f t="shared" si="32"/>
        <v>-</v>
      </c>
      <c r="N156" s="197" t="str">
        <f t="shared" si="33"/>
        <v>-</v>
      </c>
      <c r="O156" s="188" t="str">
        <f t="shared" si="34"/>
        <v>-</v>
      </c>
      <c r="P156" s="150" t="str">
        <f t="shared" si="35"/>
        <v>-</v>
      </c>
      <c r="Q156" s="198" t="str">
        <f t="shared" si="36"/>
        <v>-</v>
      </c>
      <c r="R156" s="202" t="str">
        <f t="shared" si="37"/>
        <v>-</v>
      </c>
      <c r="S156" s="198" t="str">
        <f>IF(Q156="-","-",VLOOKUP(B156,'UEstandar-Uexp'!$A$125:$Z$324,11))</f>
        <v>-</v>
      </c>
      <c r="T156" s="190" t="s">
        <v>32</v>
      </c>
      <c r="U156" s="430" t="s">
        <v>32</v>
      </c>
      <c r="V156" s="430"/>
    </row>
    <row r="157" spans="1:33" s="151" customFormat="1" ht="17.75" customHeight="1">
      <c r="A157" s="149"/>
      <c r="B157" s="166">
        <f>IF(F157="M",COUNTIF($F$36:F157,"M"),"-")</f>
        <v>106</v>
      </c>
      <c r="C157" s="350"/>
      <c r="D157" s="350"/>
      <c r="E157" s="312"/>
      <c r="F157" s="183" t="s">
        <v>10</v>
      </c>
      <c r="G157" s="308"/>
      <c r="H157" s="307"/>
      <c r="I157" s="307"/>
      <c r="J157" s="308"/>
      <c r="K157" s="311"/>
      <c r="L157" s="188" t="str">
        <f t="shared" si="19"/>
        <v>-</v>
      </c>
      <c r="M157" s="196" t="str">
        <f t="shared" si="32"/>
        <v>-</v>
      </c>
      <c r="N157" s="197" t="str">
        <f t="shared" si="33"/>
        <v>-</v>
      </c>
      <c r="O157" s="188" t="str">
        <f t="shared" si="34"/>
        <v>-</v>
      </c>
      <c r="P157" s="150" t="str">
        <f t="shared" si="35"/>
        <v>-</v>
      </c>
      <c r="Q157" s="198" t="str">
        <f t="shared" si="36"/>
        <v>-</v>
      </c>
      <c r="R157" s="202" t="str">
        <f t="shared" si="37"/>
        <v>-</v>
      </c>
      <c r="S157" s="198" t="str">
        <f>IF(Q157="-","-",VLOOKUP(B157,'UEstandar-Uexp'!$A$125:$Z$324,11))</f>
        <v>-</v>
      </c>
      <c r="T157" s="190" t="s">
        <v>32</v>
      </c>
      <c r="U157" s="430" t="s">
        <v>32</v>
      </c>
      <c r="V157" s="430"/>
    </row>
    <row r="158" spans="1:33" s="151" customFormat="1" ht="17.75" customHeight="1">
      <c r="A158" s="149"/>
      <c r="B158" s="166">
        <f>IF(F158="M",COUNTIF($F$36:F158,"M"),"-")</f>
        <v>107</v>
      </c>
      <c r="C158" s="350"/>
      <c r="D158" s="350"/>
      <c r="E158" s="312"/>
      <c r="F158" s="183" t="s">
        <v>10</v>
      </c>
      <c r="G158" s="306"/>
      <c r="H158" s="307"/>
      <c r="I158" s="307"/>
      <c r="J158" s="308"/>
      <c r="K158" s="311"/>
      <c r="L158" s="188" t="str">
        <f t="shared" si="19"/>
        <v>-</v>
      </c>
      <c r="M158" s="196" t="str">
        <f t="shared" si="32"/>
        <v>-</v>
      </c>
      <c r="N158" s="197" t="str">
        <f t="shared" si="33"/>
        <v>-</v>
      </c>
      <c r="O158" s="188" t="str">
        <f t="shared" si="34"/>
        <v>-</v>
      </c>
      <c r="P158" s="150" t="str">
        <f t="shared" si="35"/>
        <v>-</v>
      </c>
      <c r="Q158" s="198" t="str">
        <f t="shared" si="36"/>
        <v>-</v>
      </c>
      <c r="R158" s="202" t="str">
        <f t="shared" si="37"/>
        <v>-</v>
      </c>
      <c r="S158" s="198" t="str">
        <f>IF(Q158="-","-",VLOOKUP(B158,'UEstandar-Uexp'!$A$125:$Z$324,11))</f>
        <v>-</v>
      </c>
      <c r="T158" s="190" t="s">
        <v>32</v>
      </c>
      <c r="U158" s="430" t="s">
        <v>32</v>
      </c>
      <c r="V158" s="430"/>
    </row>
    <row r="159" spans="1:33" s="151" customFormat="1" ht="17.75" customHeight="1">
      <c r="A159" s="149"/>
      <c r="B159" s="166">
        <f>IF(F159="M",COUNTIF($F$36:F159,"M"),"-")</f>
        <v>108</v>
      </c>
      <c r="C159" s="350"/>
      <c r="D159" s="350"/>
      <c r="E159" s="312"/>
      <c r="F159" s="183" t="s">
        <v>10</v>
      </c>
      <c r="G159" s="308"/>
      <c r="H159" s="307"/>
      <c r="I159" s="307"/>
      <c r="J159" s="308"/>
      <c r="K159" s="311"/>
      <c r="L159" s="188" t="str">
        <f t="shared" si="19"/>
        <v>-</v>
      </c>
      <c r="M159" s="196" t="str">
        <f t="shared" si="32"/>
        <v>-</v>
      </c>
      <c r="N159" s="197" t="str">
        <f t="shared" si="33"/>
        <v>-</v>
      </c>
      <c r="O159" s="188" t="str">
        <f t="shared" si="34"/>
        <v>-</v>
      </c>
      <c r="P159" s="150" t="str">
        <f t="shared" si="35"/>
        <v>-</v>
      </c>
      <c r="Q159" s="198" t="str">
        <f t="shared" si="36"/>
        <v>-</v>
      </c>
      <c r="R159" s="202" t="str">
        <f t="shared" si="37"/>
        <v>-</v>
      </c>
      <c r="S159" s="198" t="str">
        <f>IF(Q159="-","-",VLOOKUP(B159,'UEstandar-Uexp'!$A$125:$Z$324,11))</f>
        <v>-</v>
      </c>
      <c r="T159" s="190" t="s">
        <v>32</v>
      </c>
      <c r="U159" s="430" t="s">
        <v>32</v>
      </c>
      <c r="V159" s="430"/>
    </row>
    <row r="160" spans="1:33" s="151" customFormat="1" ht="17.75" customHeight="1">
      <c r="A160" s="149"/>
      <c r="B160" s="166">
        <f>IF(F160="M",COUNTIF($F$36:F160,"M"),"-")</f>
        <v>109</v>
      </c>
      <c r="C160" s="350"/>
      <c r="D160" s="350"/>
      <c r="E160" s="312"/>
      <c r="F160" s="183" t="s">
        <v>10</v>
      </c>
      <c r="G160" s="304"/>
      <c r="H160" s="307"/>
      <c r="I160" s="307"/>
      <c r="J160" s="308"/>
      <c r="K160" s="311"/>
      <c r="L160" s="188" t="str">
        <f t="shared" si="19"/>
        <v>-</v>
      </c>
      <c r="M160" s="196" t="str">
        <f t="shared" si="32"/>
        <v>-</v>
      </c>
      <c r="N160" s="197" t="str">
        <f t="shared" si="33"/>
        <v>-</v>
      </c>
      <c r="O160" s="188" t="str">
        <f t="shared" si="34"/>
        <v>-</v>
      </c>
      <c r="P160" s="150" t="str">
        <f t="shared" si="35"/>
        <v>-</v>
      </c>
      <c r="Q160" s="198" t="str">
        <f t="shared" si="36"/>
        <v>-</v>
      </c>
      <c r="R160" s="202" t="str">
        <f t="shared" si="37"/>
        <v>-</v>
      </c>
      <c r="S160" s="198" t="str">
        <f>IF(Q160="-","-",VLOOKUP(B160,'UEstandar-Uexp'!$A$125:$Z$324,11))</f>
        <v>-</v>
      </c>
      <c r="T160" s="190" t="s">
        <v>32</v>
      </c>
      <c r="U160" s="430" t="s">
        <v>32</v>
      </c>
      <c r="V160" s="430"/>
    </row>
    <row r="161" spans="1:33" s="151" customFormat="1" ht="17.75" customHeight="1">
      <c r="A161" s="149"/>
      <c r="B161" s="166">
        <f>IF(F161="M",COUNTIF($F$36:F161,"M"),"-")</f>
        <v>110</v>
      </c>
      <c r="C161" s="350"/>
      <c r="D161" s="350"/>
      <c r="E161" s="312"/>
      <c r="F161" s="183" t="s">
        <v>10</v>
      </c>
      <c r="G161" s="308"/>
      <c r="H161" s="307"/>
      <c r="I161" s="307"/>
      <c r="J161" s="308"/>
      <c r="K161" s="309"/>
      <c r="L161" s="188" t="str">
        <f t="shared" si="19"/>
        <v>-</v>
      </c>
      <c r="M161" s="196" t="str">
        <f t="shared" si="32"/>
        <v>-</v>
      </c>
      <c r="N161" s="197" t="str">
        <f t="shared" si="33"/>
        <v>-</v>
      </c>
      <c r="O161" s="188" t="str">
        <f t="shared" si="34"/>
        <v>-</v>
      </c>
      <c r="P161" s="150" t="str">
        <f t="shared" si="35"/>
        <v>-</v>
      </c>
      <c r="Q161" s="198" t="str">
        <f t="shared" si="36"/>
        <v>-</v>
      </c>
      <c r="R161" s="202" t="str">
        <f t="shared" si="37"/>
        <v>-</v>
      </c>
      <c r="S161" s="198" t="str">
        <f>IF(Q161="-","-",VLOOKUP(B161,'UEstandar-Uexp'!$A$125:$Z$324,11))</f>
        <v>-</v>
      </c>
      <c r="T161" s="190" t="s">
        <v>32</v>
      </c>
      <c r="U161" s="430" t="s">
        <v>32</v>
      </c>
      <c r="V161" s="430"/>
    </row>
    <row r="162" spans="1:33" s="151" customFormat="1" ht="17.75" customHeight="1">
      <c r="A162" s="149"/>
      <c r="B162" s="166">
        <f>IF(F162="M",COUNTIF($F$36:F162,"M"),"-")</f>
        <v>111</v>
      </c>
      <c r="C162" s="350"/>
      <c r="D162" s="350"/>
      <c r="E162" s="312"/>
      <c r="F162" s="183" t="s">
        <v>10</v>
      </c>
      <c r="G162" s="308"/>
      <c r="H162" s="307"/>
      <c r="I162" s="307"/>
      <c r="J162" s="308"/>
      <c r="K162" s="309"/>
      <c r="L162" s="188" t="str">
        <f t="shared" ref="L162:L225" si="38">IF(K162="","-",((K162-AVERAGE($K$32:$K$33)-$O$16)/$O$15))</f>
        <v>-</v>
      </c>
      <c r="M162" s="196" t="str">
        <f t="shared" si="32"/>
        <v>-</v>
      </c>
      <c r="N162" s="197" t="str">
        <f t="shared" si="33"/>
        <v>-</v>
      </c>
      <c r="O162" s="188" t="str">
        <f t="shared" si="34"/>
        <v>-</v>
      </c>
      <c r="P162" s="150" t="str">
        <f t="shared" si="35"/>
        <v>-</v>
      </c>
      <c r="Q162" s="198" t="str">
        <f t="shared" si="36"/>
        <v>-</v>
      </c>
      <c r="R162" s="202" t="str">
        <f t="shared" si="37"/>
        <v>-</v>
      </c>
      <c r="S162" s="198" t="str">
        <f>IF(Q162="-","-",VLOOKUP(B162,'UEstandar-Uexp'!$A$125:$Z$324,11))</f>
        <v>-</v>
      </c>
      <c r="T162" s="190" t="s">
        <v>32</v>
      </c>
      <c r="U162" s="430" t="s">
        <v>32</v>
      </c>
      <c r="V162" s="430"/>
    </row>
    <row r="163" spans="1:33" s="151" customFormat="1" ht="17.75" customHeight="1">
      <c r="A163" s="149"/>
      <c r="B163" s="166">
        <f>IF(F163="M",COUNTIF($F$36:F163,"M"),"-")</f>
        <v>112</v>
      </c>
      <c r="C163" s="350"/>
      <c r="D163" s="350"/>
      <c r="E163" s="312"/>
      <c r="F163" s="183" t="s">
        <v>10</v>
      </c>
      <c r="G163" s="308"/>
      <c r="H163" s="307"/>
      <c r="I163" s="307"/>
      <c r="J163" s="308"/>
      <c r="K163" s="309"/>
      <c r="L163" s="188" t="str">
        <f t="shared" si="38"/>
        <v>-</v>
      </c>
      <c r="M163" s="196" t="str">
        <f t="shared" si="32"/>
        <v>-</v>
      </c>
      <c r="N163" s="197" t="str">
        <f t="shared" si="33"/>
        <v>-</v>
      </c>
      <c r="O163" s="188" t="str">
        <f t="shared" si="34"/>
        <v>-</v>
      </c>
      <c r="P163" s="150" t="str">
        <f t="shared" si="35"/>
        <v>-</v>
      </c>
      <c r="Q163" s="198" t="str">
        <f t="shared" si="36"/>
        <v>-</v>
      </c>
      <c r="R163" s="202" t="str">
        <f t="shared" si="37"/>
        <v>-</v>
      </c>
      <c r="S163" s="198" t="str">
        <f>IF(Q163="-","-",VLOOKUP(B163,'UEstandar-Uexp'!$A$125:$Z$324,11))</f>
        <v>-</v>
      </c>
      <c r="T163" s="190" t="s">
        <v>32</v>
      </c>
      <c r="U163" s="430" t="s">
        <v>32</v>
      </c>
      <c r="V163" s="430"/>
      <c r="X163" s="148"/>
      <c r="Y163" s="148"/>
      <c r="Z163" s="148"/>
      <c r="AA163" s="148"/>
      <c r="AB163" s="148"/>
      <c r="AC163" s="148"/>
      <c r="AD163" s="148"/>
      <c r="AE163" s="148"/>
      <c r="AF163" s="148"/>
      <c r="AG163" s="148"/>
    </row>
    <row r="164" spans="1:33" ht="17.75" customHeight="1">
      <c r="A164" s="149"/>
      <c r="B164" s="166">
        <f>IF(F164="M",COUNTIF($F$36:F164,"M"),"-")</f>
        <v>113</v>
      </c>
      <c r="C164" s="350"/>
      <c r="D164" s="350"/>
      <c r="E164" s="312"/>
      <c r="F164" s="183" t="s">
        <v>10</v>
      </c>
      <c r="G164" s="306"/>
      <c r="H164" s="307"/>
      <c r="I164" s="307"/>
      <c r="J164" s="308"/>
      <c r="K164" s="309"/>
      <c r="L164" s="188" t="str">
        <f t="shared" si="38"/>
        <v>-</v>
      </c>
      <c r="M164" s="196" t="str">
        <f t="shared" si="32"/>
        <v>-</v>
      </c>
      <c r="N164" s="197" t="str">
        <f t="shared" si="33"/>
        <v>-</v>
      </c>
      <c r="O164" s="188" t="str">
        <f t="shared" si="34"/>
        <v>-</v>
      </c>
      <c r="P164" s="150" t="str">
        <f t="shared" si="35"/>
        <v>-</v>
      </c>
      <c r="Q164" s="198" t="str">
        <f t="shared" si="36"/>
        <v>-</v>
      </c>
      <c r="R164" s="202" t="str">
        <f t="shared" si="37"/>
        <v>-</v>
      </c>
      <c r="S164" s="198" t="str">
        <f>IF(Q164="-","-",VLOOKUP(B164,'UEstandar-Uexp'!$A$125:$Z$324,11))</f>
        <v>-</v>
      </c>
      <c r="T164" s="190" t="s">
        <v>32</v>
      </c>
      <c r="U164" s="430" t="s">
        <v>32</v>
      </c>
      <c r="V164" s="430"/>
      <c r="W164" s="151"/>
    </row>
    <row r="165" spans="1:33" ht="17.75" customHeight="1">
      <c r="A165" s="149"/>
      <c r="B165" s="166">
        <f>IF(F165="M",COUNTIF($F$36:F165,"M"),"-")</f>
        <v>114</v>
      </c>
      <c r="C165" s="350"/>
      <c r="D165" s="350"/>
      <c r="E165" s="312"/>
      <c r="F165" s="183" t="s">
        <v>10</v>
      </c>
      <c r="G165" s="308"/>
      <c r="H165" s="307"/>
      <c r="I165" s="307"/>
      <c r="J165" s="308"/>
      <c r="K165" s="309"/>
      <c r="L165" s="188" t="str">
        <f t="shared" si="38"/>
        <v>-</v>
      </c>
      <c r="M165" s="196" t="str">
        <f t="shared" si="32"/>
        <v>-</v>
      </c>
      <c r="N165" s="197" t="str">
        <f t="shared" si="33"/>
        <v>-</v>
      </c>
      <c r="O165" s="188" t="str">
        <f t="shared" si="34"/>
        <v>-</v>
      </c>
      <c r="P165" s="150" t="str">
        <f t="shared" si="35"/>
        <v>-</v>
      </c>
      <c r="Q165" s="198" t="str">
        <f t="shared" si="36"/>
        <v>-</v>
      </c>
      <c r="R165" s="202" t="str">
        <f t="shared" si="37"/>
        <v>-</v>
      </c>
      <c r="S165" s="198" t="str">
        <f>IF(Q165="-","-",VLOOKUP(B165,'UEstandar-Uexp'!$A$125:$Z$324,11))</f>
        <v>-</v>
      </c>
      <c r="T165" s="190" t="s">
        <v>32</v>
      </c>
      <c r="U165" s="430" t="s">
        <v>32</v>
      </c>
      <c r="V165" s="430"/>
      <c r="W165" s="151"/>
    </row>
    <row r="166" spans="1:33" ht="17.75" customHeight="1">
      <c r="A166" s="149"/>
      <c r="B166" s="166">
        <f>IF(F166="M",COUNTIF($F$36:F166,"M"),"-")</f>
        <v>115</v>
      </c>
      <c r="C166" s="350"/>
      <c r="D166" s="350"/>
      <c r="E166" s="312"/>
      <c r="F166" s="183" t="s">
        <v>10</v>
      </c>
      <c r="G166" s="304"/>
      <c r="H166" s="307"/>
      <c r="I166" s="307"/>
      <c r="J166" s="308"/>
      <c r="K166" s="309"/>
      <c r="L166" s="188" t="str">
        <f t="shared" si="38"/>
        <v>-</v>
      </c>
      <c r="M166" s="196" t="str">
        <f t="shared" si="32"/>
        <v>-</v>
      </c>
      <c r="N166" s="197" t="str">
        <f t="shared" si="33"/>
        <v>-</v>
      </c>
      <c r="O166" s="188" t="str">
        <f t="shared" si="34"/>
        <v>-</v>
      </c>
      <c r="P166" s="150" t="str">
        <f t="shared" si="35"/>
        <v>-</v>
      </c>
      <c r="Q166" s="198" t="str">
        <f t="shared" si="36"/>
        <v>-</v>
      </c>
      <c r="R166" s="202" t="str">
        <f t="shared" si="37"/>
        <v>-</v>
      </c>
      <c r="S166" s="198" t="str">
        <f>IF(Q166="-","-",VLOOKUP(B166,'UEstandar-Uexp'!$A$125:$Z$324,11))</f>
        <v>-</v>
      </c>
      <c r="T166" s="190" t="s">
        <v>32</v>
      </c>
      <c r="U166" s="430" t="s">
        <v>32</v>
      </c>
      <c r="V166" s="430"/>
      <c r="W166" s="151"/>
    </row>
    <row r="167" spans="1:33" ht="17.75" customHeight="1">
      <c r="B167" s="166">
        <f>IF(F167="M",COUNTIF($F$36:F167,"M"),"-")</f>
        <v>116</v>
      </c>
      <c r="C167" s="350"/>
      <c r="D167" s="350"/>
      <c r="E167" s="312"/>
      <c r="F167" s="183" t="s">
        <v>10</v>
      </c>
      <c r="G167" s="308"/>
      <c r="H167" s="307"/>
      <c r="I167" s="307"/>
      <c r="J167" s="308"/>
      <c r="K167" s="310"/>
      <c r="L167" s="188" t="str">
        <f t="shared" si="38"/>
        <v>-</v>
      </c>
      <c r="M167" s="196" t="str">
        <f t="shared" si="32"/>
        <v>-</v>
      </c>
      <c r="N167" s="197" t="str">
        <f t="shared" si="33"/>
        <v>-</v>
      </c>
      <c r="O167" s="188" t="str">
        <f t="shared" si="34"/>
        <v>-</v>
      </c>
      <c r="P167" s="150" t="str">
        <f t="shared" si="35"/>
        <v>-</v>
      </c>
      <c r="Q167" s="198" t="str">
        <f t="shared" si="36"/>
        <v>-</v>
      </c>
      <c r="R167" s="202" t="str">
        <f t="shared" si="37"/>
        <v>-</v>
      </c>
      <c r="S167" s="198" t="str">
        <f>IF(Q167="-","-",VLOOKUP(B167,'UEstandar-Uexp'!$A$125:$Z$324,11))</f>
        <v>-</v>
      </c>
      <c r="T167" s="190" t="s">
        <v>32</v>
      </c>
      <c r="U167" s="430" t="s">
        <v>32</v>
      </c>
      <c r="V167" s="430"/>
      <c r="W167" s="151"/>
    </row>
    <row r="168" spans="1:33" ht="17.75" customHeight="1">
      <c r="B168" s="166">
        <f>IF(F168="M",COUNTIF($F$36:F168,"M"),"-")</f>
        <v>117</v>
      </c>
      <c r="C168" s="350"/>
      <c r="D168" s="350"/>
      <c r="E168" s="312"/>
      <c r="F168" s="183" t="s">
        <v>10</v>
      </c>
      <c r="G168" s="308"/>
      <c r="H168" s="307"/>
      <c r="I168" s="307"/>
      <c r="J168" s="308"/>
      <c r="K168" s="310"/>
      <c r="L168" s="188" t="str">
        <f t="shared" si="38"/>
        <v>-</v>
      </c>
      <c r="M168" s="196" t="str">
        <f t="shared" si="32"/>
        <v>-</v>
      </c>
      <c r="N168" s="197" t="str">
        <f t="shared" si="33"/>
        <v>-</v>
      </c>
      <c r="O168" s="188" t="str">
        <f t="shared" si="34"/>
        <v>-</v>
      </c>
      <c r="P168" s="150" t="str">
        <f t="shared" si="35"/>
        <v>-</v>
      </c>
      <c r="Q168" s="198" t="str">
        <f t="shared" si="36"/>
        <v>-</v>
      </c>
      <c r="R168" s="202" t="str">
        <f t="shared" si="37"/>
        <v>-</v>
      </c>
      <c r="S168" s="198" t="str">
        <f>IF(Q168="-","-",VLOOKUP(B168,'UEstandar-Uexp'!$A$125:$Z$324,11))</f>
        <v>-</v>
      </c>
      <c r="T168" s="190" t="s">
        <v>32</v>
      </c>
      <c r="U168" s="430" t="s">
        <v>32</v>
      </c>
      <c r="V168" s="430"/>
      <c r="W168" s="151"/>
    </row>
    <row r="169" spans="1:33" ht="17.75" customHeight="1">
      <c r="B169" s="166">
        <f>IF(F169="M",COUNTIF($F$36:F169,"M"),"-")</f>
        <v>118</v>
      </c>
      <c r="C169" s="350"/>
      <c r="D169" s="350"/>
      <c r="E169" s="312"/>
      <c r="F169" s="183" t="s">
        <v>10</v>
      </c>
      <c r="G169" s="308"/>
      <c r="H169" s="307"/>
      <c r="I169" s="307"/>
      <c r="J169" s="308"/>
      <c r="K169" s="311"/>
      <c r="L169" s="188" t="str">
        <f t="shared" si="38"/>
        <v>-</v>
      </c>
      <c r="M169" s="196" t="str">
        <f t="shared" si="32"/>
        <v>-</v>
      </c>
      <c r="N169" s="197" t="str">
        <f t="shared" si="33"/>
        <v>-</v>
      </c>
      <c r="O169" s="188" t="str">
        <f t="shared" si="34"/>
        <v>-</v>
      </c>
      <c r="P169" s="150" t="str">
        <f t="shared" si="35"/>
        <v>-</v>
      </c>
      <c r="Q169" s="198" t="str">
        <f t="shared" si="36"/>
        <v>-</v>
      </c>
      <c r="R169" s="202" t="str">
        <f t="shared" si="37"/>
        <v>-</v>
      </c>
      <c r="S169" s="198" t="str">
        <f>IF(Q169="-","-",VLOOKUP(B169,'UEstandar-Uexp'!$A$125:$Z$324,11))</f>
        <v>-</v>
      </c>
      <c r="T169" s="190" t="s">
        <v>32</v>
      </c>
      <c r="U169" s="430" t="s">
        <v>32</v>
      </c>
      <c r="V169" s="430"/>
      <c r="W169" s="151"/>
    </row>
    <row r="170" spans="1:33" ht="17.75" customHeight="1">
      <c r="B170" s="166">
        <f>IF(F170="M",COUNTIF($F$36:F170,"M"),"-")</f>
        <v>119</v>
      </c>
      <c r="C170" s="350"/>
      <c r="D170" s="350"/>
      <c r="E170" s="312"/>
      <c r="F170" s="183" t="s">
        <v>10</v>
      </c>
      <c r="G170" s="308"/>
      <c r="H170" s="307"/>
      <c r="I170" s="307"/>
      <c r="J170" s="308"/>
      <c r="K170" s="311"/>
      <c r="L170" s="188" t="str">
        <f t="shared" si="38"/>
        <v>-</v>
      </c>
      <c r="M170" s="196" t="str">
        <f t="shared" si="32"/>
        <v>-</v>
      </c>
      <c r="N170" s="197" t="str">
        <f t="shared" si="33"/>
        <v>-</v>
      </c>
      <c r="O170" s="188" t="str">
        <f t="shared" si="34"/>
        <v>-</v>
      </c>
      <c r="P170" s="150" t="str">
        <f t="shared" si="35"/>
        <v>-</v>
      </c>
      <c r="Q170" s="198" t="str">
        <f t="shared" si="36"/>
        <v>-</v>
      </c>
      <c r="R170" s="202" t="str">
        <f t="shared" si="37"/>
        <v>-</v>
      </c>
      <c r="S170" s="198" t="str">
        <f>IF(Q170="-","-",VLOOKUP(B170,'UEstandar-Uexp'!$A$125:$Z$324,11))</f>
        <v>-</v>
      </c>
      <c r="T170" s="190" t="s">
        <v>32</v>
      </c>
      <c r="U170" s="430" t="s">
        <v>32</v>
      </c>
      <c r="V170" s="430"/>
      <c r="W170" s="151"/>
    </row>
    <row r="171" spans="1:33" ht="17.75" customHeight="1">
      <c r="B171" s="166">
        <f>IF(F171="M",COUNTIF($F$36:F171,"M"),"-")</f>
        <v>120</v>
      </c>
      <c r="C171" s="350"/>
      <c r="D171" s="350"/>
      <c r="E171" s="312"/>
      <c r="F171" s="183" t="s">
        <v>10</v>
      </c>
      <c r="G171" s="308"/>
      <c r="H171" s="307"/>
      <c r="I171" s="307"/>
      <c r="J171" s="308"/>
      <c r="K171" s="311"/>
      <c r="L171" s="188" t="str">
        <f t="shared" si="38"/>
        <v>-</v>
      </c>
      <c r="M171" s="196" t="str">
        <f t="shared" si="32"/>
        <v>-</v>
      </c>
      <c r="N171" s="197" t="str">
        <f t="shared" si="33"/>
        <v>-</v>
      </c>
      <c r="O171" s="188" t="str">
        <f t="shared" si="34"/>
        <v>-</v>
      </c>
      <c r="P171" s="150" t="str">
        <f t="shared" si="35"/>
        <v>-</v>
      </c>
      <c r="Q171" s="198" t="str">
        <f t="shared" si="36"/>
        <v>-</v>
      </c>
      <c r="R171" s="202" t="str">
        <f t="shared" si="37"/>
        <v>-</v>
      </c>
      <c r="S171" s="198" t="str">
        <f>IF(Q171="-","-",VLOOKUP(B171,'UEstandar-Uexp'!$A$125:$Z$324,11))</f>
        <v>-</v>
      </c>
      <c r="T171" s="190" t="s">
        <v>32</v>
      </c>
      <c r="U171" s="430" t="s">
        <v>32</v>
      </c>
      <c r="V171" s="430"/>
      <c r="W171" s="151"/>
    </row>
    <row r="172" spans="1:33" ht="17.75" customHeight="1">
      <c r="B172" s="191" t="s">
        <v>32</v>
      </c>
      <c r="C172" s="184">
        <f>Datos!$J$14</f>
        <v>2.5</v>
      </c>
      <c r="D172" s="184" t="s">
        <v>126</v>
      </c>
      <c r="E172" s="185"/>
      <c r="F172" s="192" t="s">
        <v>118</v>
      </c>
      <c r="G172" s="187" t="s">
        <v>32</v>
      </c>
      <c r="H172" s="193" t="s">
        <v>32</v>
      </c>
      <c r="I172" s="193" t="s">
        <v>32</v>
      </c>
      <c r="J172" s="194" t="s">
        <v>32</v>
      </c>
      <c r="K172" s="309"/>
      <c r="L172" s="188" t="str">
        <f t="shared" si="38"/>
        <v>-</v>
      </c>
      <c r="M172" s="190" t="s">
        <v>32</v>
      </c>
      <c r="N172" s="190" t="s">
        <v>32</v>
      </c>
      <c r="O172" s="190" t="s">
        <v>32</v>
      </c>
      <c r="P172" s="150" t="s">
        <v>32</v>
      </c>
      <c r="Q172" s="190" t="s">
        <v>32</v>
      </c>
      <c r="R172" s="189" t="s">
        <v>32</v>
      </c>
      <c r="S172" s="190" t="s">
        <v>32</v>
      </c>
      <c r="T172" s="195" t="str">
        <f>IF(K172="","-",ROUND(100*(L172-C172)/C172,1))</f>
        <v>-</v>
      </c>
      <c r="U172" s="431" t="str">
        <f>IF(K172="","-",IF(AND(T172&lt;=$T$15,T172&gt;=-$T$15),"Cumple","No cumple"))</f>
        <v>-</v>
      </c>
      <c r="V172" s="431"/>
      <c r="W172" s="151"/>
    </row>
    <row r="173" spans="1:33" ht="17.75" customHeight="1">
      <c r="B173" s="191" t="s">
        <v>32</v>
      </c>
      <c r="C173" s="350"/>
      <c r="D173" s="350"/>
      <c r="E173" s="200"/>
      <c r="F173" s="192" t="s">
        <v>117</v>
      </c>
      <c r="G173" s="306"/>
      <c r="H173" s="307"/>
      <c r="I173" s="307"/>
      <c r="J173" s="308"/>
      <c r="K173" s="309"/>
      <c r="L173" s="188" t="str">
        <f t="shared" si="38"/>
        <v>-</v>
      </c>
      <c r="M173" s="196" t="str">
        <f t="shared" ref="M173:M194" si="39">IF(G173="","-",G173+(AA$10*G173))</f>
        <v>-</v>
      </c>
      <c r="N173" s="197" t="str">
        <f t="shared" ref="N173:N194" si="40">IF(H173="","-",IF(H173&lt;=X$19,H173*Z$18+AA$18,H173*Z$19+AA$19))</f>
        <v>-</v>
      </c>
      <c r="O173" s="188" t="str">
        <f t="shared" ref="O173:O194" si="41">IF(I173="","-",$Z$26)</f>
        <v>-</v>
      </c>
      <c r="P173" s="150" t="str">
        <f t="shared" ref="P173:P194" si="42">IF(J173="","-",IF(J173&lt;=AC$19,J173*AE$18+AF$18,J173*AE$19+AF$19))</f>
        <v>-</v>
      </c>
      <c r="Q173" s="198" t="str">
        <f>IF(K173="","-",(L173*(N173/M173)*(O173/P173)))</f>
        <v>-</v>
      </c>
      <c r="R173" s="189" t="s">
        <v>32</v>
      </c>
      <c r="S173" s="190" t="s">
        <v>32</v>
      </c>
      <c r="T173" s="199" t="s">
        <v>32</v>
      </c>
      <c r="U173" s="431" t="str">
        <f>IF(K173="","-",IF(AND(Q173&gt;=$V$17,VALUE(Q173)&lt;=$T$17),"Cumple","No Cumple"))</f>
        <v>-</v>
      </c>
      <c r="V173" s="431"/>
      <c r="W173" s="151"/>
    </row>
    <row r="174" spans="1:33" ht="17.75" customHeight="1">
      <c r="B174" s="191" t="s">
        <v>193</v>
      </c>
      <c r="C174" s="350"/>
      <c r="D174" s="350"/>
      <c r="E174" s="200"/>
      <c r="F174" s="195" t="s">
        <v>11</v>
      </c>
      <c r="G174" s="308"/>
      <c r="H174" s="307"/>
      <c r="I174" s="307"/>
      <c r="J174" s="308"/>
      <c r="K174" s="310"/>
      <c r="L174" s="188" t="str">
        <f t="shared" si="38"/>
        <v>-</v>
      </c>
      <c r="M174" s="196" t="str">
        <f t="shared" si="39"/>
        <v>-</v>
      </c>
      <c r="N174" s="197" t="str">
        <f t="shared" si="40"/>
        <v>-</v>
      </c>
      <c r="O174" s="188" t="str">
        <f t="shared" si="41"/>
        <v>-</v>
      </c>
      <c r="P174" s="150" t="str">
        <f t="shared" si="42"/>
        <v>-</v>
      </c>
      <c r="Q174" s="198" t="str">
        <f t="shared" ref="Q174:Q194" si="43">IF(K174="","-",ROUND((L174*(N174/M174)*(O174/P174)),2))</f>
        <v>-</v>
      </c>
      <c r="R174" s="189" t="s">
        <v>32</v>
      </c>
      <c r="S174" s="190" t="s">
        <v>32</v>
      </c>
      <c r="T174" s="201" t="str">
        <f>IF(C174="","-",ROUND(2*(Q174-Q175)*100/(Q174+Q175),1))</f>
        <v>-</v>
      </c>
      <c r="U174" s="431" t="str">
        <f>IF(K174="","-",IF(AND(T174&lt;=$T$16,T174&gt;=-$T$16),"Cumple","No cumple"))</f>
        <v>-</v>
      </c>
      <c r="V174" s="431"/>
    </row>
    <row r="175" spans="1:33" ht="17.75" customHeight="1">
      <c r="B175" s="166">
        <f>IF(F175="M",COUNTIF($F$36:F175,"M"),"-")</f>
        <v>121</v>
      </c>
      <c r="C175" s="350"/>
      <c r="D175" s="350"/>
      <c r="E175" s="312">
        <v>7</v>
      </c>
      <c r="F175" s="183" t="s">
        <v>10</v>
      </c>
      <c r="G175" s="304"/>
      <c r="H175" s="307"/>
      <c r="I175" s="307"/>
      <c r="J175" s="308"/>
      <c r="K175" s="310"/>
      <c r="L175" s="188" t="str">
        <f t="shared" si="38"/>
        <v>-</v>
      </c>
      <c r="M175" s="196" t="str">
        <f t="shared" si="39"/>
        <v>-</v>
      </c>
      <c r="N175" s="197" t="str">
        <f t="shared" si="40"/>
        <v>-</v>
      </c>
      <c r="O175" s="188" t="str">
        <f t="shared" si="41"/>
        <v>-</v>
      </c>
      <c r="P175" s="150" t="str">
        <f t="shared" si="42"/>
        <v>-</v>
      </c>
      <c r="Q175" s="198" t="str">
        <f t="shared" si="43"/>
        <v>-</v>
      </c>
      <c r="R175" s="202" t="str">
        <f>IF(Q175="","-",IF(Q175&lt;$Q$19,"&lt; LC","-"))</f>
        <v>-</v>
      </c>
      <c r="S175" s="198" t="str">
        <f>IF(Q175="-","-",VLOOKUP(B175,'UEstandar-Uexp'!$A$125:$Z$324,11))</f>
        <v>-</v>
      </c>
      <c r="T175" s="190" t="s">
        <v>32</v>
      </c>
      <c r="U175" s="430" t="s">
        <v>32</v>
      </c>
      <c r="V175" s="430"/>
    </row>
    <row r="176" spans="1:33" ht="17.75" customHeight="1">
      <c r="B176" s="166">
        <f>IF(F176="M",COUNTIF($F$36:F176,"M"),"-")</f>
        <v>122</v>
      </c>
      <c r="C176" s="350"/>
      <c r="D176" s="350"/>
      <c r="E176" s="312"/>
      <c r="F176" s="183" t="s">
        <v>10</v>
      </c>
      <c r="G176" s="308"/>
      <c r="H176" s="307"/>
      <c r="I176" s="307"/>
      <c r="J176" s="308"/>
      <c r="K176" s="311"/>
      <c r="L176" s="188" t="str">
        <f t="shared" si="38"/>
        <v>-</v>
      </c>
      <c r="M176" s="196" t="str">
        <f t="shared" si="39"/>
        <v>-</v>
      </c>
      <c r="N176" s="197" t="str">
        <f t="shared" si="40"/>
        <v>-</v>
      </c>
      <c r="O176" s="188" t="str">
        <f t="shared" si="41"/>
        <v>-</v>
      </c>
      <c r="P176" s="150" t="str">
        <f t="shared" si="42"/>
        <v>-</v>
      </c>
      <c r="Q176" s="198" t="str">
        <f t="shared" si="43"/>
        <v>-</v>
      </c>
      <c r="R176" s="202" t="str">
        <f t="shared" ref="R176:R194" si="44">IF(Q176="","-",IF(Q176&lt;$Q$19,"&lt; LC","-"))</f>
        <v>-</v>
      </c>
      <c r="S176" s="198" t="str">
        <f>IF(Q176="-","-",VLOOKUP(B176,'UEstandar-Uexp'!$A$125:$Z$324,11))</f>
        <v>-</v>
      </c>
      <c r="T176" s="190" t="s">
        <v>32</v>
      </c>
      <c r="U176" s="430" t="s">
        <v>32</v>
      </c>
      <c r="V176" s="430"/>
    </row>
    <row r="177" spans="2:22" ht="17.75" customHeight="1">
      <c r="B177" s="166">
        <f>IF(F177="M",COUNTIF($F$36:F177,"M"),"-")</f>
        <v>123</v>
      </c>
      <c r="C177" s="350"/>
      <c r="D177" s="350"/>
      <c r="E177" s="312"/>
      <c r="F177" s="183" t="s">
        <v>10</v>
      </c>
      <c r="G177" s="308"/>
      <c r="H177" s="307"/>
      <c r="I177" s="307"/>
      <c r="J177" s="308"/>
      <c r="K177" s="311"/>
      <c r="L177" s="188" t="str">
        <f t="shared" si="38"/>
        <v>-</v>
      </c>
      <c r="M177" s="196" t="str">
        <f t="shared" si="39"/>
        <v>-</v>
      </c>
      <c r="N177" s="197" t="str">
        <f t="shared" si="40"/>
        <v>-</v>
      </c>
      <c r="O177" s="188" t="str">
        <f t="shared" si="41"/>
        <v>-</v>
      </c>
      <c r="P177" s="150" t="str">
        <f t="shared" si="42"/>
        <v>-</v>
      </c>
      <c r="Q177" s="198" t="str">
        <f t="shared" si="43"/>
        <v>-</v>
      </c>
      <c r="R177" s="202" t="str">
        <f t="shared" si="44"/>
        <v>-</v>
      </c>
      <c r="S177" s="198" t="str">
        <f>IF(Q177="-","-",VLOOKUP(B177,'UEstandar-Uexp'!$A$125:$Z$324,11))</f>
        <v>-</v>
      </c>
      <c r="T177" s="190" t="s">
        <v>32</v>
      </c>
      <c r="U177" s="430" t="s">
        <v>32</v>
      </c>
      <c r="V177" s="430"/>
    </row>
    <row r="178" spans="2:22" ht="17.75" customHeight="1">
      <c r="B178" s="166">
        <f>IF(F178="M",COUNTIF($F$36:F178,"M"),"-")</f>
        <v>124</v>
      </c>
      <c r="C178" s="350"/>
      <c r="D178" s="350"/>
      <c r="E178" s="312"/>
      <c r="F178" s="183" t="s">
        <v>10</v>
      </c>
      <c r="G178" s="308"/>
      <c r="H178" s="307"/>
      <c r="I178" s="307"/>
      <c r="J178" s="308"/>
      <c r="K178" s="311"/>
      <c r="L178" s="188" t="str">
        <f t="shared" si="38"/>
        <v>-</v>
      </c>
      <c r="M178" s="196" t="str">
        <f t="shared" si="39"/>
        <v>-</v>
      </c>
      <c r="N178" s="197" t="str">
        <f t="shared" si="40"/>
        <v>-</v>
      </c>
      <c r="O178" s="188" t="str">
        <f t="shared" si="41"/>
        <v>-</v>
      </c>
      <c r="P178" s="150" t="str">
        <f t="shared" si="42"/>
        <v>-</v>
      </c>
      <c r="Q178" s="198" t="str">
        <f t="shared" si="43"/>
        <v>-</v>
      </c>
      <c r="R178" s="202" t="str">
        <f t="shared" si="44"/>
        <v>-</v>
      </c>
      <c r="S178" s="198" t="str">
        <f>IF(Q178="-","-",VLOOKUP(B178,'UEstandar-Uexp'!$A$125:$Z$324,11))</f>
        <v>-</v>
      </c>
      <c r="T178" s="190" t="s">
        <v>32</v>
      </c>
      <c r="U178" s="430" t="s">
        <v>32</v>
      </c>
      <c r="V178" s="430"/>
    </row>
    <row r="179" spans="2:22" ht="17.75" customHeight="1">
      <c r="B179" s="166">
        <f>IF(F179="M",COUNTIF($F$36:F179,"M"),"-")</f>
        <v>125</v>
      </c>
      <c r="C179" s="350"/>
      <c r="D179" s="350"/>
      <c r="E179" s="312"/>
      <c r="F179" s="183" t="s">
        <v>10</v>
      </c>
      <c r="G179" s="308"/>
      <c r="H179" s="307"/>
      <c r="I179" s="307"/>
      <c r="J179" s="308"/>
      <c r="K179" s="311"/>
      <c r="L179" s="188" t="str">
        <f t="shared" si="38"/>
        <v>-</v>
      </c>
      <c r="M179" s="196" t="str">
        <f t="shared" si="39"/>
        <v>-</v>
      </c>
      <c r="N179" s="197" t="str">
        <f t="shared" si="40"/>
        <v>-</v>
      </c>
      <c r="O179" s="188" t="str">
        <f t="shared" si="41"/>
        <v>-</v>
      </c>
      <c r="P179" s="150" t="str">
        <f t="shared" si="42"/>
        <v>-</v>
      </c>
      <c r="Q179" s="198" t="str">
        <f t="shared" si="43"/>
        <v>-</v>
      </c>
      <c r="R179" s="202" t="str">
        <f t="shared" si="44"/>
        <v>-</v>
      </c>
      <c r="S179" s="198" t="str">
        <f>IF(Q179="-","-",VLOOKUP(B179,'UEstandar-Uexp'!$A$125:$Z$324,11))</f>
        <v>-</v>
      </c>
      <c r="T179" s="190" t="s">
        <v>32</v>
      </c>
      <c r="U179" s="430" t="s">
        <v>32</v>
      </c>
      <c r="V179" s="430"/>
    </row>
    <row r="180" spans="2:22" ht="17.75" customHeight="1">
      <c r="B180" s="166">
        <f>IF(F180="M",COUNTIF($F$36:F180,"M"),"-")</f>
        <v>126</v>
      </c>
      <c r="C180" s="350"/>
      <c r="D180" s="350"/>
      <c r="E180" s="312"/>
      <c r="F180" s="183" t="s">
        <v>10</v>
      </c>
      <c r="G180" s="308"/>
      <c r="H180" s="307"/>
      <c r="I180" s="307"/>
      <c r="J180" s="308"/>
      <c r="K180" s="311"/>
      <c r="L180" s="188" t="str">
        <f t="shared" si="38"/>
        <v>-</v>
      </c>
      <c r="M180" s="196" t="str">
        <f t="shared" si="39"/>
        <v>-</v>
      </c>
      <c r="N180" s="197" t="str">
        <f t="shared" si="40"/>
        <v>-</v>
      </c>
      <c r="O180" s="188" t="str">
        <f t="shared" si="41"/>
        <v>-</v>
      </c>
      <c r="P180" s="150" t="str">
        <f t="shared" si="42"/>
        <v>-</v>
      </c>
      <c r="Q180" s="198" t="str">
        <f t="shared" si="43"/>
        <v>-</v>
      </c>
      <c r="R180" s="202" t="str">
        <f t="shared" si="44"/>
        <v>-</v>
      </c>
      <c r="S180" s="198" t="str">
        <f>IF(Q180="-","-",VLOOKUP(B180,'UEstandar-Uexp'!$A$125:$Z$324,11))</f>
        <v>-</v>
      </c>
      <c r="T180" s="190" t="s">
        <v>32</v>
      </c>
      <c r="U180" s="430" t="s">
        <v>32</v>
      </c>
      <c r="V180" s="430"/>
    </row>
    <row r="181" spans="2:22" ht="17.75" customHeight="1">
      <c r="B181" s="166">
        <f>IF(F181="M",COUNTIF($F$36:F181,"M"),"-")</f>
        <v>127</v>
      </c>
      <c r="C181" s="350"/>
      <c r="D181" s="350"/>
      <c r="E181" s="312"/>
      <c r="F181" s="183" t="s">
        <v>10</v>
      </c>
      <c r="G181" s="306"/>
      <c r="H181" s="307"/>
      <c r="I181" s="307"/>
      <c r="J181" s="308"/>
      <c r="K181" s="311"/>
      <c r="L181" s="188" t="str">
        <f t="shared" si="38"/>
        <v>-</v>
      </c>
      <c r="M181" s="196" t="str">
        <f t="shared" si="39"/>
        <v>-</v>
      </c>
      <c r="N181" s="197" t="str">
        <f t="shared" si="40"/>
        <v>-</v>
      </c>
      <c r="O181" s="188" t="str">
        <f t="shared" si="41"/>
        <v>-</v>
      </c>
      <c r="P181" s="150" t="str">
        <f t="shared" si="42"/>
        <v>-</v>
      </c>
      <c r="Q181" s="198" t="str">
        <f t="shared" si="43"/>
        <v>-</v>
      </c>
      <c r="R181" s="202" t="str">
        <f t="shared" si="44"/>
        <v>-</v>
      </c>
      <c r="S181" s="198" t="str">
        <f>IF(Q181="-","-",VLOOKUP(B181,'UEstandar-Uexp'!$A$125:$Z$324,11))</f>
        <v>-</v>
      </c>
      <c r="T181" s="190" t="s">
        <v>32</v>
      </c>
      <c r="U181" s="430" t="s">
        <v>32</v>
      </c>
      <c r="V181" s="430"/>
    </row>
    <row r="182" spans="2:22" ht="17.75" customHeight="1">
      <c r="B182" s="166">
        <f>IF(F182="M",COUNTIF($F$36:F182,"M"),"-")</f>
        <v>128</v>
      </c>
      <c r="C182" s="350"/>
      <c r="D182" s="350"/>
      <c r="E182" s="312"/>
      <c r="F182" s="183" t="s">
        <v>10</v>
      </c>
      <c r="G182" s="308"/>
      <c r="H182" s="307"/>
      <c r="I182" s="307"/>
      <c r="J182" s="308"/>
      <c r="K182" s="311"/>
      <c r="L182" s="188" t="str">
        <f t="shared" si="38"/>
        <v>-</v>
      </c>
      <c r="M182" s="196" t="str">
        <f t="shared" si="39"/>
        <v>-</v>
      </c>
      <c r="N182" s="197" t="str">
        <f t="shared" si="40"/>
        <v>-</v>
      </c>
      <c r="O182" s="188" t="str">
        <f t="shared" si="41"/>
        <v>-</v>
      </c>
      <c r="P182" s="150" t="str">
        <f t="shared" si="42"/>
        <v>-</v>
      </c>
      <c r="Q182" s="198" t="str">
        <f t="shared" si="43"/>
        <v>-</v>
      </c>
      <c r="R182" s="202" t="str">
        <f t="shared" si="44"/>
        <v>-</v>
      </c>
      <c r="S182" s="198" t="str">
        <f>IF(Q182="-","-",VLOOKUP(B182,'UEstandar-Uexp'!$A$125:$Z$324,11))</f>
        <v>-</v>
      </c>
      <c r="T182" s="190" t="s">
        <v>32</v>
      </c>
      <c r="U182" s="430" t="s">
        <v>32</v>
      </c>
      <c r="V182" s="430"/>
    </row>
    <row r="183" spans="2:22" ht="17.75" customHeight="1">
      <c r="B183" s="166">
        <f>IF(F183="M",COUNTIF($F$36:F183,"M"),"-")</f>
        <v>129</v>
      </c>
      <c r="C183" s="350"/>
      <c r="D183" s="350"/>
      <c r="E183" s="312"/>
      <c r="F183" s="183" t="s">
        <v>10</v>
      </c>
      <c r="G183" s="304"/>
      <c r="H183" s="307"/>
      <c r="I183" s="307"/>
      <c r="J183" s="308"/>
      <c r="K183" s="311"/>
      <c r="L183" s="188" t="str">
        <f t="shared" si="38"/>
        <v>-</v>
      </c>
      <c r="M183" s="196" t="str">
        <f t="shared" si="39"/>
        <v>-</v>
      </c>
      <c r="N183" s="197" t="str">
        <f t="shared" si="40"/>
        <v>-</v>
      </c>
      <c r="O183" s="188" t="str">
        <f t="shared" si="41"/>
        <v>-</v>
      </c>
      <c r="P183" s="150" t="str">
        <f t="shared" si="42"/>
        <v>-</v>
      </c>
      <c r="Q183" s="198" t="str">
        <f t="shared" si="43"/>
        <v>-</v>
      </c>
      <c r="R183" s="202" t="str">
        <f t="shared" si="44"/>
        <v>-</v>
      </c>
      <c r="S183" s="198" t="str">
        <f>IF(Q183="-","-",VLOOKUP(B183,'UEstandar-Uexp'!$A$125:$Z$324,11))</f>
        <v>-</v>
      </c>
      <c r="T183" s="190" t="s">
        <v>32</v>
      </c>
      <c r="U183" s="430" t="s">
        <v>32</v>
      </c>
      <c r="V183" s="430"/>
    </row>
    <row r="184" spans="2:22" ht="17.75" customHeight="1">
      <c r="B184" s="166">
        <f>IF(F184="M",COUNTIF($F$36:F184,"M"),"-")</f>
        <v>130</v>
      </c>
      <c r="C184" s="350"/>
      <c r="D184" s="350"/>
      <c r="E184" s="312"/>
      <c r="F184" s="183" t="s">
        <v>10</v>
      </c>
      <c r="G184" s="308"/>
      <c r="H184" s="307"/>
      <c r="I184" s="307"/>
      <c r="J184" s="308"/>
      <c r="K184" s="309"/>
      <c r="L184" s="188" t="str">
        <f t="shared" si="38"/>
        <v>-</v>
      </c>
      <c r="M184" s="196" t="str">
        <f t="shared" si="39"/>
        <v>-</v>
      </c>
      <c r="N184" s="197" t="str">
        <f t="shared" si="40"/>
        <v>-</v>
      </c>
      <c r="O184" s="188" t="str">
        <f t="shared" si="41"/>
        <v>-</v>
      </c>
      <c r="P184" s="150" t="str">
        <f t="shared" si="42"/>
        <v>-</v>
      </c>
      <c r="Q184" s="198" t="str">
        <f t="shared" si="43"/>
        <v>-</v>
      </c>
      <c r="R184" s="202" t="str">
        <f t="shared" si="44"/>
        <v>-</v>
      </c>
      <c r="S184" s="198" t="str">
        <f>IF(Q184="-","-",VLOOKUP(B184,'UEstandar-Uexp'!$A$125:$Z$324,11))</f>
        <v>-</v>
      </c>
      <c r="T184" s="190" t="s">
        <v>32</v>
      </c>
      <c r="U184" s="430" t="s">
        <v>32</v>
      </c>
      <c r="V184" s="430"/>
    </row>
    <row r="185" spans="2:22" ht="17.75" customHeight="1">
      <c r="B185" s="166">
        <f>IF(F185="M",COUNTIF($F$36:F185,"M"),"-")</f>
        <v>131</v>
      </c>
      <c r="C185" s="350"/>
      <c r="D185" s="350"/>
      <c r="E185" s="312"/>
      <c r="F185" s="183" t="s">
        <v>10</v>
      </c>
      <c r="G185" s="308"/>
      <c r="H185" s="307"/>
      <c r="I185" s="307"/>
      <c r="J185" s="308"/>
      <c r="K185" s="309"/>
      <c r="L185" s="188" t="str">
        <f t="shared" si="38"/>
        <v>-</v>
      </c>
      <c r="M185" s="196" t="str">
        <f t="shared" si="39"/>
        <v>-</v>
      </c>
      <c r="N185" s="197" t="str">
        <f t="shared" si="40"/>
        <v>-</v>
      </c>
      <c r="O185" s="188" t="str">
        <f t="shared" si="41"/>
        <v>-</v>
      </c>
      <c r="P185" s="150" t="str">
        <f t="shared" si="42"/>
        <v>-</v>
      </c>
      <c r="Q185" s="198" t="str">
        <f t="shared" si="43"/>
        <v>-</v>
      </c>
      <c r="R185" s="202" t="str">
        <f t="shared" si="44"/>
        <v>-</v>
      </c>
      <c r="S185" s="198" t="str">
        <f>IF(Q185="-","-",VLOOKUP(B185,'UEstandar-Uexp'!$A$125:$Z$324,11))</f>
        <v>-</v>
      </c>
      <c r="T185" s="190" t="s">
        <v>32</v>
      </c>
      <c r="U185" s="430" t="s">
        <v>32</v>
      </c>
      <c r="V185" s="430"/>
    </row>
    <row r="186" spans="2:22" ht="17.75" customHeight="1">
      <c r="B186" s="166">
        <f>IF(F186="M",COUNTIF($F$36:F186,"M"),"-")</f>
        <v>132</v>
      </c>
      <c r="C186" s="350"/>
      <c r="D186" s="350"/>
      <c r="E186" s="312"/>
      <c r="F186" s="183" t="s">
        <v>10</v>
      </c>
      <c r="G186" s="308"/>
      <c r="H186" s="307"/>
      <c r="I186" s="307"/>
      <c r="J186" s="308"/>
      <c r="K186" s="309"/>
      <c r="L186" s="188" t="str">
        <f t="shared" si="38"/>
        <v>-</v>
      </c>
      <c r="M186" s="196" t="str">
        <f t="shared" si="39"/>
        <v>-</v>
      </c>
      <c r="N186" s="197" t="str">
        <f t="shared" si="40"/>
        <v>-</v>
      </c>
      <c r="O186" s="188" t="str">
        <f t="shared" si="41"/>
        <v>-</v>
      </c>
      <c r="P186" s="150" t="str">
        <f t="shared" si="42"/>
        <v>-</v>
      </c>
      <c r="Q186" s="198" t="str">
        <f t="shared" si="43"/>
        <v>-</v>
      </c>
      <c r="R186" s="202" t="str">
        <f t="shared" si="44"/>
        <v>-</v>
      </c>
      <c r="S186" s="198" t="str">
        <f>IF(Q186="-","-",VLOOKUP(B186,'UEstandar-Uexp'!$A$125:$Z$324,11))</f>
        <v>-</v>
      </c>
      <c r="T186" s="190" t="s">
        <v>32</v>
      </c>
      <c r="U186" s="430" t="s">
        <v>32</v>
      </c>
      <c r="V186" s="430"/>
    </row>
    <row r="187" spans="2:22" ht="17.75" customHeight="1">
      <c r="B187" s="166">
        <f>IF(F187="M",COUNTIF($F$36:F187,"M"),"-")</f>
        <v>133</v>
      </c>
      <c r="C187" s="350"/>
      <c r="D187" s="350"/>
      <c r="E187" s="312"/>
      <c r="F187" s="183" t="s">
        <v>10</v>
      </c>
      <c r="G187" s="306"/>
      <c r="H187" s="307"/>
      <c r="I187" s="307"/>
      <c r="J187" s="308"/>
      <c r="K187" s="309"/>
      <c r="L187" s="188" t="str">
        <f t="shared" si="38"/>
        <v>-</v>
      </c>
      <c r="M187" s="196" t="str">
        <f t="shared" si="39"/>
        <v>-</v>
      </c>
      <c r="N187" s="197" t="str">
        <f t="shared" si="40"/>
        <v>-</v>
      </c>
      <c r="O187" s="188" t="str">
        <f t="shared" si="41"/>
        <v>-</v>
      </c>
      <c r="P187" s="150" t="str">
        <f t="shared" si="42"/>
        <v>-</v>
      </c>
      <c r="Q187" s="198" t="str">
        <f t="shared" si="43"/>
        <v>-</v>
      </c>
      <c r="R187" s="202" t="str">
        <f t="shared" si="44"/>
        <v>-</v>
      </c>
      <c r="S187" s="198" t="str">
        <f>IF(Q187="-","-",VLOOKUP(B187,'UEstandar-Uexp'!$A$125:$Z$324,11))</f>
        <v>-</v>
      </c>
      <c r="T187" s="190" t="s">
        <v>32</v>
      </c>
      <c r="U187" s="430" t="s">
        <v>32</v>
      </c>
      <c r="V187" s="430"/>
    </row>
    <row r="188" spans="2:22" ht="17.75" customHeight="1">
      <c r="B188" s="166">
        <f>IF(F188="M",COUNTIF($F$36:F188,"M"),"-")</f>
        <v>134</v>
      </c>
      <c r="C188" s="350"/>
      <c r="D188" s="350"/>
      <c r="E188" s="312"/>
      <c r="F188" s="183" t="s">
        <v>10</v>
      </c>
      <c r="G188" s="308"/>
      <c r="H188" s="307"/>
      <c r="I188" s="307"/>
      <c r="J188" s="308"/>
      <c r="K188" s="309"/>
      <c r="L188" s="188" t="str">
        <f t="shared" si="38"/>
        <v>-</v>
      </c>
      <c r="M188" s="196" t="str">
        <f t="shared" si="39"/>
        <v>-</v>
      </c>
      <c r="N188" s="197" t="str">
        <f t="shared" si="40"/>
        <v>-</v>
      </c>
      <c r="O188" s="188" t="str">
        <f t="shared" si="41"/>
        <v>-</v>
      </c>
      <c r="P188" s="150" t="str">
        <f t="shared" si="42"/>
        <v>-</v>
      </c>
      <c r="Q188" s="198" t="str">
        <f t="shared" si="43"/>
        <v>-</v>
      </c>
      <c r="R188" s="202" t="str">
        <f t="shared" si="44"/>
        <v>-</v>
      </c>
      <c r="S188" s="198" t="str">
        <f>IF(Q188="-","-",VLOOKUP(B188,'UEstandar-Uexp'!$A$125:$Z$324,11))</f>
        <v>-</v>
      </c>
      <c r="T188" s="190" t="s">
        <v>32</v>
      </c>
      <c r="U188" s="430" t="s">
        <v>32</v>
      </c>
      <c r="V188" s="430"/>
    </row>
    <row r="189" spans="2:22" ht="17.75" customHeight="1">
      <c r="B189" s="166">
        <f>IF(F189="M",COUNTIF($F$36:F189,"M"),"-")</f>
        <v>135</v>
      </c>
      <c r="C189" s="350"/>
      <c r="D189" s="350"/>
      <c r="E189" s="312"/>
      <c r="F189" s="183" t="s">
        <v>10</v>
      </c>
      <c r="G189" s="304"/>
      <c r="H189" s="307"/>
      <c r="I189" s="307"/>
      <c r="J189" s="308"/>
      <c r="K189" s="309"/>
      <c r="L189" s="188" t="str">
        <f t="shared" si="38"/>
        <v>-</v>
      </c>
      <c r="M189" s="196" t="str">
        <f t="shared" si="39"/>
        <v>-</v>
      </c>
      <c r="N189" s="197" t="str">
        <f t="shared" si="40"/>
        <v>-</v>
      </c>
      <c r="O189" s="188" t="str">
        <f t="shared" si="41"/>
        <v>-</v>
      </c>
      <c r="P189" s="150" t="str">
        <f t="shared" si="42"/>
        <v>-</v>
      </c>
      <c r="Q189" s="198" t="str">
        <f t="shared" si="43"/>
        <v>-</v>
      </c>
      <c r="R189" s="202" t="str">
        <f t="shared" si="44"/>
        <v>-</v>
      </c>
      <c r="S189" s="198" t="str">
        <f>IF(Q189="-","-",VLOOKUP(B189,'UEstandar-Uexp'!$A$125:$Z$324,11))</f>
        <v>-</v>
      </c>
      <c r="T189" s="190" t="s">
        <v>32</v>
      </c>
      <c r="U189" s="430" t="s">
        <v>32</v>
      </c>
      <c r="V189" s="430"/>
    </row>
    <row r="190" spans="2:22" ht="17.75" customHeight="1">
      <c r="B190" s="166">
        <f>IF(F190="M",COUNTIF($F$36:F190,"M"),"-")</f>
        <v>136</v>
      </c>
      <c r="C190" s="350"/>
      <c r="D190" s="350"/>
      <c r="E190" s="312"/>
      <c r="F190" s="183" t="s">
        <v>10</v>
      </c>
      <c r="G190" s="308"/>
      <c r="H190" s="307"/>
      <c r="I190" s="307"/>
      <c r="J190" s="308"/>
      <c r="K190" s="310"/>
      <c r="L190" s="188" t="str">
        <f t="shared" si="38"/>
        <v>-</v>
      </c>
      <c r="M190" s="196" t="str">
        <f t="shared" si="39"/>
        <v>-</v>
      </c>
      <c r="N190" s="197" t="str">
        <f t="shared" si="40"/>
        <v>-</v>
      </c>
      <c r="O190" s="188" t="str">
        <f t="shared" si="41"/>
        <v>-</v>
      </c>
      <c r="P190" s="150" t="str">
        <f t="shared" si="42"/>
        <v>-</v>
      </c>
      <c r="Q190" s="198" t="str">
        <f t="shared" si="43"/>
        <v>-</v>
      </c>
      <c r="R190" s="202" t="str">
        <f t="shared" si="44"/>
        <v>-</v>
      </c>
      <c r="S190" s="198" t="str">
        <f>IF(Q190="-","-",VLOOKUP(B190,'UEstandar-Uexp'!$A$125:$Z$324,11))</f>
        <v>-</v>
      </c>
      <c r="T190" s="190" t="s">
        <v>32</v>
      </c>
      <c r="U190" s="430" t="s">
        <v>32</v>
      </c>
      <c r="V190" s="430"/>
    </row>
    <row r="191" spans="2:22" ht="17.75" customHeight="1">
      <c r="B191" s="166">
        <f>IF(F191="M",COUNTIF($F$36:F191,"M"),"-")</f>
        <v>137</v>
      </c>
      <c r="C191" s="350"/>
      <c r="D191" s="350"/>
      <c r="E191" s="312"/>
      <c r="F191" s="183" t="s">
        <v>10</v>
      </c>
      <c r="G191" s="308"/>
      <c r="H191" s="307"/>
      <c r="I191" s="307"/>
      <c r="J191" s="308"/>
      <c r="K191" s="310"/>
      <c r="L191" s="188" t="str">
        <f t="shared" si="38"/>
        <v>-</v>
      </c>
      <c r="M191" s="196" t="str">
        <f t="shared" si="39"/>
        <v>-</v>
      </c>
      <c r="N191" s="197" t="str">
        <f t="shared" si="40"/>
        <v>-</v>
      </c>
      <c r="O191" s="188" t="str">
        <f t="shared" si="41"/>
        <v>-</v>
      </c>
      <c r="P191" s="150" t="str">
        <f t="shared" si="42"/>
        <v>-</v>
      </c>
      <c r="Q191" s="198" t="str">
        <f t="shared" si="43"/>
        <v>-</v>
      </c>
      <c r="R191" s="202" t="str">
        <f t="shared" si="44"/>
        <v>-</v>
      </c>
      <c r="S191" s="198" t="str">
        <f>IF(Q191="-","-",VLOOKUP(B191,'UEstandar-Uexp'!$A$125:$Z$324,11))</f>
        <v>-</v>
      </c>
      <c r="T191" s="190" t="s">
        <v>32</v>
      </c>
      <c r="U191" s="430" t="s">
        <v>32</v>
      </c>
      <c r="V191" s="430"/>
    </row>
    <row r="192" spans="2:22" ht="17.75" customHeight="1">
      <c r="B192" s="166">
        <f>IF(F192="M",COUNTIF($F$36:F192,"M"),"-")</f>
        <v>138</v>
      </c>
      <c r="C192" s="350"/>
      <c r="D192" s="350"/>
      <c r="E192" s="312"/>
      <c r="F192" s="183" t="s">
        <v>10</v>
      </c>
      <c r="G192" s="308"/>
      <c r="H192" s="307"/>
      <c r="I192" s="307"/>
      <c r="J192" s="308"/>
      <c r="K192" s="311"/>
      <c r="L192" s="188" t="str">
        <f t="shared" si="38"/>
        <v>-</v>
      </c>
      <c r="M192" s="196" t="str">
        <f t="shared" si="39"/>
        <v>-</v>
      </c>
      <c r="N192" s="197" t="str">
        <f t="shared" si="40"/>
        <v>-</v>
      </c>
      <c r="O192" s="188" t="str">
        <f t="shared" si="41"/>
        <v>-</v>
      </c>
      <c r="P192" s="150" t="str">
        <f t="shared" si="42"/>
        <v>-</v>
      </c>
      <c r="Q192" s="198" t="str">
        <f t="shared" si="43"/>
        <v>-</v>
      </c>
      <c r="R192" s="202" t="str">
        <f t="shared" si="44"/>
        <v>-</v>
      </c>
      <c r="S192" s="198" t="str">
        <f>IF(Q192="-","-",VLOOKUP(B192,'UEstandar-Uexp'!$A$125:$Z$324,11))</f>
        <v>-</v>
      </c>
      <c r="T192" s="190" t="s">
        <v>32</v>
      </c>
      <c r="U192" s="430" t="s">
        <v>32</v>
      </c>
      <c r="V192" s="430"/>
    </row>
    <row r="193" spans="2:23" ht="17.75" customHeight="1">
      <c r="B193" s="166">
        <f>IF(F193="M",COUNTIF($F$36:F193,"M"),"-")</f>
        <v>139</v>
      </c>
      <c r="C193" s="350"/>
      <c r="D193" s="350"/>
      <c r="E193" s="312"/>
      <c r="F193" s="183" t="s">
        <v>10</v>
      </c>
      <c r="G193" s="308"/>
      <c r="H193" s="307"/>
      <c r="I193" s="307"/>
      <c r="J193" s="308"/>
      <c r="K193" s="311"/>
      <c r="L193" s="188" t="str">
        <f t="shared" si="38"/>
        <v>-</v>
      </c>
      <c r="M193" s="196" t="str">
        <f t="shared" si="39"/>
        <v>-</v>
      </c>
      <c r="N193" s="197" t="str">
        <f t="shared" si="40"/>
        <v>-</v>
      </c>
      <c r="O193" s="188" t="str">
        <f t="shared" si="41"/>
        <v>-</v>
      </c>
      <c r="P193" s="150" t="str">
        <f t="shared" si="42"/>
        <v>-</v>
      </c>
      <c r="Q193" s="198" t="str">
        <f t="shared" si="43"/>
        <v>-</v>
      </c>
      <c r="R193" s="202" t="str">
        <f t="shared" si="44"/>
        <v>-</v>
      </c>
      <c r="S193" s="198" t="str">
        <f>IF(Q193="-","-",VLOOKUP(B193,'UEstandar-Uexp'!$A$125:$Z$324,11))</f>
        <v>-</v>
      </c>
      <c r="T193" s="190" t="s">
        <v>32</v>
      </c>
      <c r="U193" s="430" t="s">
        <v>32</v>
      </c>
      <c r="V193" s="430"/>
    </row>
    <row r="194" spans="2:23" ht="17.75" customHeight="1">
      <c r="B194" s="166">
        <f>IF(F194="M",COUNTIF($F$36:F194,"M"),"-")</f>
        <v>140</v>
      </c>
      <c r="C194" s="350"/>
      <c r="D194" s="350"/>
      <c r="E194" s="312"/>
      <c r="F194" s="183" t="s">
        <v>10</v>
      </c>
      <c r="G194" s="308"/>
      <c r="H194" s="307"/>
      <c r="I194" s="307"/>
      <c r="J194" s="308"/>
      <c r="K194" s="311"/>
      <c r="L194" s="188" t="str">
        <f t="shared" si="38"/>
        <v>-</v>
      </c>
      <c r="M194" s="196" t="str">
        <f t="shared" si="39"/>
        <v>-</v>
      </c>
      <c r="N194" s="197" t="str">
        <f t="shared" si="40"/>
        <v>-</v>
      </c>
      <c r="O194" s="188" t="str">
        <f t="shared" si="41"/>
        <v>-</v>
      </c>
      <c r="P194" s="150" t="str">
        <f t="shared" si="42"/>
        <v>-</v>
      </c>
      <c r="Q194" s="198" t="str">
        <f t="shared" si="43"/>
        <v>-</v>
      </c>
      <c r="R194" s="202" t="str">
        <f t="shared" si="44"/>
        <v>-</v>
      </c>
      <c r="S194" s="198" t="str">
        <f>IF(Q194="-","-",VLOOKUP(B194,'UEstandar-Uexp'!$A$125:$Z$324,11))</f>
        <v>-</v>
      </c>
      <c r="T194" s="190" t="s">
        <v>32</v>
      </c>
      <c r="U194" s="430" t="s">
        <v>32</v>
      </c>
      <c r="V194" s="430"/>
      <c r="W194" s="151"/>
    </row>
    <row r="195" spans="2:23" ht="17.75" customHeight="1">
      <c r="B195" s="191" t="s">
        <v>32</v>
      </c>
      <c r="C195" s="184">
        <f>Datos!$J$14</f>
        <v>2.5</v>
      </c>
      <c r="D195" s="184" t="s">
        <v>126</v>
      </c>
      <c r="E195" s="185"/>
      <c r="F195" s="192" t="s">
        <v>118</v>
      </c>
      <c r="G195" s="187" t="s">
        <v>32</v>
      </c>
      <c r="H195" s="193" t="s">
        <v>32</v>
      </c>
      <c r="I195" s="193" t="s">
        <v>32</v>
      </c>
      <c r="J195" s="194" t="s">
        <v>32</v>
      </c>
      <c r="K195" s="309"/>
      <c r="L195" s="188" t="str">
        <f t="shared" si="38"/>
        <v>-</v>
      </c>
      <c r="M195" s="190" t="s">
        <v>32</v>
      </c>
      <c r="N195" s="190" t="s">
        <v>32</v>
      </c>
      <c r="O195" s="190" t="s">
        <v>32</v>
      </c>
      <c r="P195" s="150" t="s">
        <v>32</v>
      </c>
      <c r="Q195" s="190" t="s">
        <v>32</v>
      </c>
      <c r="R195" s="189" t="s">
        <v>32</v>
      </c>
      <c r="S195" s="190" t="s">
        <v>32</v>
      </c>
      <c r="T195" s="195" t="str">
        <f>IF(K195="","-",ROUND(100*(L195-C195)/C195,1))</f>
        <v>-</v>
      </c>
      <c r="U195" s="431" t="str">
        <f>IF(K195="","-",IF(AND(T195&lt;=$T$15,T195&gt;=-$T$15),"Cumple","No cumple"))</f>
        <v>-</v>
      </c>
      <c r="V195" s="431"/>
      <c r="W195" s="151"/>
    </row>
    <row r="196" spans="2:23" ht="17.75" customHeight="1">
      <c r="B196" s="191" t="s">
        <v>32</v>
      </c>
      <c r="C196" s="350"/>
      <c r="D196" s="350"/>
      <c r="E196" s="200"/>
      <c r="F196" s="192" t="s">
        <v>117</v>
      </c>
      <c r="G196" s="306"/>
      <c r="H196" s="307"/>
      <c r="I196" s="307"/>
      <c r="J196" s="308"/>
      <c r="K196" s="309"/>
      <c r="L196" s="188" t="str">
        <f t="shared" si="38"/>
        <v>-</v>
      </c>
      <c r="M196" s="196" t="str">
        <f t="shared" ref="M196:M217" si="45">IF(G196="","-",G196+(AA$10*G196))</f>
        <v>-</v>
      </c>
      <c r="N196" s="197" t="str">
        <f t="shared" ref="N196:N217" si="46">IF(H196="","-",IF(H196&lt;=X$19,H196*Z$18+AA$18,H196*Z$19+AA$19))</f>
        <v>-</v>
      </c>
      <c r="O196" s="188" t="str">
        <f t="shared" ref="O196:O217" si="47">IF(I196="","-",$Z$26)</f>
        <v>-</v>
      </c>
      <c r="P196" s="150" t="str">
        <f t="shared" ref="P196:P217" si="48">IF(J196="","-",IF(J196&lt;=AC$19,J196*AE$18+AF$18,J196*AE$19+AF$19))</f>
        <v>-</v>
      </c>
      <c r="Q196" s="198" t="str">
        <f>IF(K196="","-",(L196*(N196/M196)*(O196/P196)))</f>
        <v>-</v>
      </c>
      <c r="R196" s="189" t="s">
        <v>32</v>
      </c>
      <c r="S196" s="190" t="s">
        <v>32</v>
      </c>
      <c r="T196" s="199" t="s">
        <v>32</v>
      </c>
      <c r="U196" s="431" t="str">
        <f>IF(K196="","-",IF(AND(Q196&gt;=$V$17,VALUE(Q196)&lt;=$T$17),"Cumple","No Cumple"))</f>
        <v>-</v>
      </c>
      <c r="V196" s="431"/>
      <c r="W196" s="151"/>
    </row>
    <row r="197" spans="2:23" ht="17.75" customHeight="1">
      <c r="B197" s="191" t="s">
        <v>194</v>
      </c>
      <c r="C197" s="350"/>
      <c r="D197" s="350"/>
      <c r="E197" s="200"/>
      <c r="F197" s="195" t="s">
        <v>11</v>
      </c>
      <c r="G197" s="308"/>
      <c r="H197" s="307"/>
      <c r="I197" s="307"/>
      <c r="J197" s="308"/>
      <c r="K197" s="310"/>
      <c r="L197" s="188" t="str">
        <f t="shared" si="38"/>
        <v>-</v>
      </c>
      <c r="M197" s="196" t="str">
        <f t="shared" si="45"/>
        <v>-</v>
      </c>
      <c r="N197" s="197" t="str">
        <f t="shared" si="46"/>
        <v>-</v>
      </c>
      <c r="O197" s="188" t="str">
        <f t="shared" si="47"/>
        <v>-</v>
      </c>
      <c r="P197" s="150" t="str">
        <f t="shared" si="48"/>
        <v>-</v>
      </c>
      <c r="Q197" s="198" t="str">
        <f t="shared" ref="Q197:Q217" si="49">IF(K197="","-",ROUND((L197*(N197/M197)*(O197/P197)),2))</f>
        <v>-</v>
      </c>
      <c r="R197" s="189" t="s">
        <v>32</v>
      </c>
      <c r="S197" s="190" t="s">
        <v>32</v>
      </c>
      <c r="T197" s="201" t="str">
        <f>IF(C197="","-",ROUND(2*(Q197-Q198)*100/(Q197+Q198),1))</f>
        <v>-</v>
      </c>
      <c r="U197" s="431" t="str">
        <f>IF(K197="","-",IF(AND(T197&lt;=$T$16,T197&gt;=-$T$16),"Cumple","No cumple"))</f>
        <v>-</v>
      </c>
      <c r="V197" s="431"/>
    </row>
    <row r="198" spans="2:23" ht="17.75" customHeight="1">
      <c r="B198" s="166">
        <f>IF(F198="M",COUNTIF($F$36:F198,"M"),"-")</f>
        <v>141</v>
      </c>
      <c r="C198" s="350"/>
      <c r="D198" s="350"/>
      <c r="E198" s="312"/>
      <c r="F198" s="183" t="s">
        <v>10</v>
      </c>
      <c r="G198" s="304"/>
      <c r="H198" s="307"/>
      <c r="I198" s="307"/>
      <c r="J198" s="308"/>
      <c r="K198" s="310"/>
      <c r="L198" s="188" t="str">
        <f t="shared" si="38"/>
        <v>-</v>
      </c>
      <c r="M198" s="196" t="str">
        <f t="shared" si="45"/>
        <v>-</v>
      </c>
      <c r="N198" s="197" t="str">
        <f t="shared" si="46"/>
        <v>-</v>
      </c>
      <c r="O198" s="188" t="str">
        <f t="shared" si="47"/>
        <v>-</v>
      </c>
      <c r="P198" s="150" t="str">
        <f t="shared" si="48"/>
        <v>-</v>
      </c>
      <c r="Q198" s="198" t="str">
        <f t="shared" si="49"/>
        <v>-</v>
      </c>
      <c r="R198" s="202" t="str">
        <f>IF(Q198="","-",IF(Q198&lt;$Q$19,"&lt; LC","-"))</f>
        <v>-</v>
      </c>
      <c r="S198" s="198" t="str">
        <f>IF(Q198="-","-",VLOOKUP(B198,'UEstandar-Uexp'!$A$125:$Z$324,11))</f>
        <v>-</v>
      </c>
      <c r="T198" s="190" t="s">
        <v>32</v>
      </c>
      <c r="U198" s="430" t="s">
        <v>32</v>
      </c>
      <c r="V198" s="430"/>
    </row>
    <row r="199" spans="2:23" ht="17.75" customHeight="1">
      <c r="B199" s="166">
        <f>IF(F199="M",COUNTIF($F$36:F199,"M"),"-")</f>
        <v>142</v>
      </c>
      <c r="C199" s="350"/>
      <c r="D199" s="350"/>
      <c r="E199" s="312"/>
      <c r="F199" s="183" t="s">
        <v>10</v>
      </c>
      <c r="G199" s="308"/>
      <c r="H199" s="307"/>
      <c r="I199" s="307"/>
      <c r="J199" s="308"/>
      <c r="K199" s="311"/>
      <c r="L199" s="188" t="str">
        <f t="shared" si="38"/>
        <v>-</v>
      </c>
      <c r="M199" s="196" t="str">
        <f t="shared" si="45"/>
        <v>-</v>
      </c>
      <c r="N199" s="197" t="str">
        <f t="shared" si="46"/>
        <v>-</v>
      </c>
      <c r="O199" s="188" t="str">
        <f t="shared" si="47"/>
        <v>-</v>
      </c>
      <c r="P199" s="150" t="str">
        <f t="shared" si="48"/>
        <v>-</v>
      </c>
      <c r="Q199" s="198" t="str">
        <f t="shared" si="49"/>
        <v>-</v>
      </c>
      <c r="R199" s="202" t="str">
        <f t="shared" ref="R199:R217" si="50">IF(Q199="","-",IF(Q199&lt;$Q$19,"&lt; LC","-"))</f>
        <v>-</v>
      </c>
      <c r="S199" s="198" t="str">
        <f>IF(Q199="-","-",VLOOKUP(B199,'UEstandar-Uexp'!$A$125:$Z$324,11))</f>
        <v>-</v>
      </c>
      <c r="T199" s="190" t="s">
        <v>32</v>
      </c>
      <c r="U199" s="430" t="s">
        <v>32</v>
      </c>
      <c r="V199" s="430"/>
    </row>
    <row r="200" spans="2:23" ht="17.75" customHeight="1">
      <c r="B200" s="166">
        <f>IF(F200="M",COUNTIF($F$36:F200,"M"),"-")</f>
        <v>143</v>
      </c>
      <c r="C200" s="350"/>
      <c r="D200" s="350"/>
      <c r="E200" s="312"/>
      <c r="F200" s="183" t="s">
        <v>10</v>
      </c>
      <c r="G200" s="308"/>
      <c r="H200" s="307"/>
      <c r="I200" s="307"/>
      <c r="J200" s="308"/>
      <c r="K200" s="311"/>
      <c r="L200" s="188" t="str">
        <f t="shared" si="38"/>
        <v>-</v>
      </c>
      <c r="M200" s="196" t="str">
        <f t="shared" si="45"/>
        <v>-</v>
      </c>
      <c r="N200" s="197" t="str">
        <f t="shared" si="46"/>
        <v>-</v>
      </c>
      <c r="O200" s="188" t="str">
        <f t="shared" si="47"/>
        <v>-</v>
      </c>
      <c r="P200" s="150" t="str">
        <f t="shared" si="48"/>
        <v>-</v>
      </c>
      <c r="Q200" s="198" t="str">
        <f t="shared" si="49"/>
        <v>-</v>
      </c>
      <c r="R200" s="202" t="str">
        <f t="shared" si="50"/>
        <v>-</v>
      </c>
      <c r="S200" s="198" t="str">
        <f>IF(Q200="-","-",VLOOKUP(B200,'UEstandar-Uexp'!$A$125:$Z$324,11))</f>
        <v>-</v>
      </c>
      <c r="T200" s="190" t="s">
        <v>32</v>
      </c>
      <c r="U200" s="430" t="s">
        <v>32</v>
      </c>
      <c r="V200" s="430"/>
    </row>
    <row r="201" spans="2:23" ht="17.75" customHeight="1">
      <c r="B201" s="166">
        <f>IF(F201="M",COUNTIF($F$36:F201,"M"),"-")</f>
        <v>144</v>
      </c>
      <c r="C201" s="350"/>
      <c r="D201" s="350"/>
      <c r="E201" s="312"/>
      <c r="F201" s="183" t="s">
        <v>10</v>
      </c>
      <c r="G201" s="308"/>
      <c r="H201" s="307"/>
      <c r="I201" s="307"/>
      <c r="J201" s="308"/>
      <c r="K201" s="311"/>
      <c r="L201" s="188" t="str">
        <f t="shared" si="38"/>
        <v>-</v>
      </c>
      <c r="M201" s="196" t="str">
        <f t="shared" si="45"/>
        <v>-</v>
      </c>
      <c r="N201" s="197" t="str">
        <f t="shared" si="46"/>
        <v>-</v>
      </c>
      <c r="O201" s="188" t="str">
        <f t="shared" si="47"/>
        <v>-</v>
      </c>
      <c r="P201" s="150" t="str">
        <f t="shared" si="48"/>
        <v>-</v>
      </c>
      <c r="Q201" s="198" t="str">
        <f t="shared" si="49"/>
        <v>-</v>
      </c>
      <c r="R201" s="202" t="str">
        <f t="shared" si="50"/>
        <v>-</v>
      </c>
      <c r="S201" s="198" t="str">
        <f>IF(Q201="-","-",VLOOKUP(B201,'UEstandar-Uexp'!$A$125:$Z$324,11))</f>
        <v>-</v>
      </c>
      <c r="T201" s="190" t="s">
        <v>32</v>
      </c>
      <c r="U201" s="430" t="s">
        <v>32</v>
      </c>
      <c r="V201" s="430"/>
    </row>
    <row r="202" spans="2:23" ht="17.75" customHeight="1">
      <c r="B202" s="166">
        <f>IF(F202="M",COUNTIF($F$36:F202,"M"),"-")</f>
        <v>145</v>
      </c>
      <c r="C202" s="350"/>
      <c r="D202" s="350"/>
      <c r="E202" s="312"/>
      <c r="F202" s="183" t="s">
        <v>10</v>
      </c>
      <c r="G202" s="308"/>
      <c r="H202" s="307"/>
      <c r="I202" s="307"/>
      <c r="J202" s="308"/>
      <c r="K202" s="311"/>
      <c r="L202" s="188" t="str">
        <f t="shared" si="38"/>
        <v>-</v>
      </c>
      <c r="M202" s="196" t="str">
        <f t="shared" si="45"/>
        <v>-</v>
      </c>
      <c r="N202" s="197" t="str">
        <f t="shared" si="46"/>
        <v>-</v>
      </c>
      <c r="O202" s="188" t="str">
        <f t="shared" si="47"/>
        <v>-</v>
      </c>
      <c r="P202" s="150" t="str">
        <f t="shared" si="48"/>
        <v>-</v>
      </c>
      <c r="Q202" s="198" t="str">
        <f t="shared" si="49"/>
        <v>-</v>
      </c>
      <c r="R202" s="202" t="str">
        <f t="shared" si="50"/>
        <v>-</v>
      </c>
      <c r="S202" s="198" t="str">
        <f>IF(Q202="-","-",VLOOKUP(B202,'UEstandar-Uexp'!$A$125:$Z$324,11))</f>
        <v>-</v>
      </c>
      <c r="T202" s="190" t="s">
        <v>32</v>
      </c>
      <c r="U202" s="430" t="s">
        <v>32</v>
      </c>
      <c r="V202" s="430"/>
    </row>
    <row r="203" spans="2:23" ht="17.75" customHeight="1">
      <c r="B203" s="166">
        <f>IF(F203="M",COUNTIF($F$36:F203,"M"),"-")</f>
        <v>146</v>
      </c>
      <c r="C203" s="350"/>
      <c r="D203" s="350"/>
      <c r="E203" s="312"/>
      <c r="F203" s="183" t="s">
        <v>10</v>
      </c>
      <c r="G203" s="308"/>
      <c r="H203" s="307"/>
      <c r="I203" s="307"/>
      <c r="J203" s="308"/>
      <c r="K203" s="311"/>
      <c r="L203" s="188" t="str">
        <f t="shared" si="38"/>
        <v>-</v>
      </c>
      <c r="M203" s="196" t="str">
        <f t="shared" si="45"/>
        <v>-</v>
      </c>
      <c r="N203" s="197" t="str">
        <f t="shared" si="46"/>
        <v>-</v>
      </c>
      <c r="O203" s="188" t="str">
        <f t="shared" si="47"/>
        <v>-</v>
      </c>
      <c r="P203" s="150" t="str">
        <f t="shared" si="48"/>
        <v>-</v>
      </c>
      <c r="Q203" s="198" t="str">
        <f t="shared" si="49"/>
        <v>-</v>
      </c>
      <c r="R203" s="202" t="str">
        <f t="shared" si="50"/>
        <v>-</v>
      </c>
      <c r="S203" s="198" t="str">
        <f>IF(Q203="-","-",VLOOKUP(B203,'UEstandar-Uexp'!$A$125:$Z$324,11))</f>
        <v>-</v>
      </c>
      <c r="T203" s="190" t="s">
        <v>32</v>
      </c>
      <c r="U203" s="430" t="s">
        <v>32</v>
      </c>
      <c r="V203" s="430"/>
    </row>
    <row r="204" spans="2:23" ht="17.75" customHeight="1">
      <c r="B204" s="166">
        <f>IF(F204="M",COUNTIF($F$36:F204,"M"),"-")</f>
        <v>147</v>
      </c>
      <c r="C204" s="350"/>
      <c r="D204" s="350"/>
      <c r="E204" s="312"/>
      <c r="F204" s="183" t="s">
        <v>10</v>
      </c>
      <c r="G204" s="306"/>
      <c r="H204" s="307"/>
      <c r="I204" s="307"/>
      <c r="J204" s="308"/>
      <c r="K204" s="311"/>
      <c r="L204" s="188" t="str">
        <f t="shared" si="38"/>
        <v>-</v>
      </c>
      <c r="M204" s="196" t="str">
        <f t="shared" si="45"/>
        <v>-</v>
      </c>
      <c r="N204" s="197" t="str">
        <f t="shared" si="46"/>
        <v>-</v>
      </c>
      <c r="O204" s="188" t="str">
        <f t="shared" si="47"/>
        <v>-</v>
      </c>
      <c r="P204" s="150" t="str">
        <f t="shared" si="48"/>
        <v>-</v>
      </c>
      <c r="Q204" s="198" t="str">
        <f t="shared" si="49"/>
        <v>-</v>
      </c>
      <c r="R204" s="202" t="str">
        <f t="shared" si="50"/>
        <v>-</v>
      </c>
      <c r="S204" s="198" t="str">
        <f>IF(Q204="-","-",VLOOKUP(B204,'UEstandar-Uexp'!$A$125:$Z$324,11))</f>
        <v>-</v>
      </c>
      <c r="T204" s="190" t="s">
        <v>32</v>
      </c>
      <c r="U204" s="430" t="s">
        <v>32</v>
      </c>
      <c r="V204" s="430"/>
    </row>
    <row r="205" spans="2:23" ht="17.75" customHeight="1">
      <c r="B205" s="166">
        <f>IF(F205="M",COUNTIF($F$36:F205,"M"),"-")</f>
        <v>148</v>
      </c>
      <c r="C205" s="350"/>
      <c r="D205" s="350"/>
      <c r="E205" s="312"/>
      <c r="F205" s="183" t="s">
        <v>10</v>
      </c>
      <c r="G205" s="308"/>
      <c r="H205" s="307"/>
      <c r="I205" s="307"/>
      <c r="J205" s="308"/>
      <c r="K205" s="311"/>
      <c r="L205" s="188" t="str">
        <f t="shared" si="38"/>
        <v>-</v>
      </c>
      <c r="M205" s="196" t="str">
        <f t="shared" si="45"/>
        <v>-</v>
      </c>
      <c r="N205" s="197" t="str">
        <f t="shared" si="46"/>
        <v>-</v>
      </c>
      <c r="O205" s="188" t="str">
        <f t="shared" si="47"/>
        <v>-</v>
      </c>
      <c r="P205" s="150" t="str">
        <f t="shared" si="48"/>
        <v>-</v>
      </c>
      <c r="Q205" s="198" t="str">
        <f t="shared" si="49"/>
        <v>-</v>
      </c>
      <c r="R205" s="202" t="str">
        <f t="shared" si="50"/>
        <v>-</v>
      </c>
      <c r="S205" s="198" t="str">
        <f>IF(Q205="-","-",VLOOKUP(B205,'UEstandar-Uexp'!$A$125:$Z$324,11))</f>
        <v>-</v>
      </c>
      <c r="T205" s="190" t="s">
        <v>32</v>
      </c>
      <c r="U205" s="430" t="s">
        <v>32</v>
      </c>
      <c r="V205" s="430"/>
    </row>
    <row r="206" spans="2:23" ht="17.75" customHeight="1">
      <c r="B206" s="166">
        <f>IF(F206="M",COUNTIF($F$36:F206,"M"),"-")</f>
        <v>149</v>
      </c>
      <c r="C206" s="350"/>
      <c r="D206" s="350"/>
      <c r="E206" s="312"/>
      <c r="F206" s="183" t="s">
        <v>10</v>
      </c>
      <c r="G206" s="304"/>
      <c r="H206" s="307"/>
      <c r="I206" s="307"/>
      <c r="J206" s="308"/>
      <c r="K206" s="311"/>
      <c r="L206" s="188" t="str">
        <f t="shared" si="38"/>
        <v>-</v>
      </c>
      <c r="M206" s="196" t="str">
        <f t="shared" si="45"/>
        <v>-</v>
      </c>
      <c r="N206" s="197" t="str">
        <f t="shared" si="46"/>
        <v>-</v>
      </c>
      <c r="O206" s="188" t="str">
        <f t="shared" si="47"/>
        <v>-</v>
      </c>
      <c r="P206" s="150" t="str">
        <f t="shared" si="48"/>
        <v>-</v>
      </c>
      <c r="Q206" s="198" t="str">
        <f t="shared" si="49"/>
        <v>-</v>
      </c>
      <c r="R206" s="202" t="str">
        <f t="shared" si="50"/>
        <v>-</v>
      </c>
      <c r="S206" s="198" t="str">
        <f>IF(Q206="-","-",VLOOKUP(B206,'UEstandar-Uexp'!$A$125:$Z$324,11))</f>
        <v>-</v>
      </c>
      <c r="T206" s="190" t="s">
        <v>32</v>
      </c>
      <c r="U206" s="430" t="s">
        <v>32</v>
      </c>
      <c r="V206" s="430"/>
    </row>
    <row r="207" spans="2:23" ht="17.75" customHeight="1">
      <c r="B207" s="166">
        <f>IF(F207="M",COUNTIF($F$36:F207,"M"),"-")</f>
        <v>150</v>
      </c>
      <c r="C207" s="350"/>
      <c r="D207" s="350"/>
      <c r="E207" s="312"/>
      <c r="F207" s="183" t="s">
        <v>10</v>
      </c>
      <c r="G207" s="308"/>
      <c r="H207" s="307"/>
      <c r="I207" s="307"/>
      <c r="J207" s="308"/>
      <c r="K207" s="309"/>
      <c r="L207" s="188" t="str">
        <f t="shared" si="38"/>
        <v>-</v>
      </c>
      <c r="M207" s="196" t="str">
        <f t="shared" si="45"/>
        <v>-</v>
      </c>
      <c r="N207" s="197" t="str">
        <f t="shared" si="46"/>
        <v>-</v>
      </c>
      <c r="O207" s="188" t="str">
        <f t="shared" si="47"/>
        <v>-</v>
      </c>
      <c r="P207" s="150" t="str">
        <f t="shared" si="48"/>
        <v>-</v>
      </c>
      <c r="Q207" s="198" t="str">
        <f t="shared" si="49"/>
        <v>-</v>
      </c>
      <c r="R207" s="202" t="str">
        <f t="shared" si="50"/>
        <v>-</v>
      </c>
      <c r="S207" s="198" t="str">
        <f>IF(Q207="-","-",VLOOKUP(B207,'UEstandar-Uexp'!$A$125:$Z$324,11))</f>
        <v>-</v>
      </c>
      <c r="T207" s="190" t="s">
        <v>32</v>
      </c>
      <c r="U207" s="430" t="s">
        <v>32</v>
      </c>
      <c r="V207" s="430"/>
    </row>
    <row r="208" spans="2:23" ht="17.75" customHeight="1">
      <c r="B208" s="166">
        <f>IF(F208="M",COUNTIF($F$36:F208,"M"),"-")</f>
        <v>151</v>
      </c>
      <c r="C208" s="350"/>
      <c r="D208" s="350"/>
      <c r="E208" s="312"/>
      <c r="F208" s="183" t="s">
        <v>10</v>
      </c>
      <c r="G208" s="308"/>
      <c r="H208" s="307"/>
      <c r="I208" s="307"/>
      <c r="J208" s="308"/>
      <c r="K208" s="309"/>
      <c r="L208" s="188" t="str">
        <f t="shared" si="38"/>
        <v>-</v>
      </c>
      <c r="M208" s="196" t="str">
        <f t="shared" si="45"/>
        <v>-</v>
      </c>
      <c r="N208" s="197" t="str">
        <f t="shared" si="46"/>
        <v>-</v>
      </c>
      <c r="O208" s="188" t="str">
        <f t="shared" si="47"/>
        <v>-</v>
      </c>
      <c r="P208" s="150" t="str">
        <f t="shared" si="48"/>
        <v>-</v>
      </c>
      <c r="Q208" s="198" t="str">
        <f t="shared" si="49"/>
        <v>-</v>
      </c>
      <c r="R208" s="202" t="str">
        <f t="shared" si="50"/>
        <v>-</v>
      </c>
      <c r="S208" s="198" t="str">
        <f>IF(Q208="-","-",VLOOKUP(B208,'UEstandar-Uexp'!$A$125:$Z$324,11))</f>
        <v>-</v>
      </c>
      <c r="T208" s="190" t="s">
        <v>32</v>
      </c>
      <c r="U208" s="430" t="s">
        <v>32</v>
      </c>
      <c r="V208" s="430"/>
    </row>
    <row r="209" spans="2:22" ht="17.75" customHeight="1">
      <c r="B209" s="166">
        <f>IF(F209="M",COUNTIF($F$36:F209,"M"),"-")</f>
        <v>152</v>
      </c>
      <c r="C209" s="350"/>
      <c r="D209" s="350"/>
      <c r="E209" s="312"/>
      <c r="F209" s="183" t="s">
        <v>10</v>
      </c>
      <c r="G209" s="308"/>
      <c r="H209" s="307"/>
      <c r="I209" s="307"/>
      <c r="J209" s="308"/>
      <c r="K209" s="309"/>
      <c r="L209" s="188" t="str">
        <f t="shared" si="38"/>
        <v>-</v>
      </c>
      <c r="M209" s="196" t="str">
        <f t="shared" si="45"/>
        <v>-</v>
      </c>
      <c r="N209" s="197" t="str">
        <f t="shared" si="46"/>
        <v>-</v>
      </c>
      <c r="O209" s="188" t="str">
        <f t="shared" si="47"/>
        <v>-</v>
      </c>
      <c r="P209" s="150" t="str">
        <f t="shared" si="48"/>
        <v>-</v>
      </c>
      <c r="Q209" s="198" t="str">
        <f t="shared" si="49"/>
        <v>-</v>
      </c>
      <c r="R209" s="202" t="str">
        <f t="shared" si="50"/>
        <v>-</v>
      </c>
      <c r="S209" s="198" t="str">
        <f>IF(Q209="-","-",VLOOKUP(B209,'UEstandar-Uexp'!$A$125:$Z$324,11))</f>
        <v>-</v>
      </c>
      <c r="T209" s="190" t="s">
        <v>32</v>
      </c>
      <c r="U209" s="430" t="s">
        <v>32</v>
      </c>
      <c r="V209" s="430"/>
    </row>
    <row r="210" spans="2:22" ht="17.75" customHeight="1">
      <c r="B210" s="166">
        <f>IF(F210="M",COUNTIF($F$36:F210,"M"),"-")</f>
        <v>153</v>
      </c>
      <c r="C210" s="350"/>
      <c r="D210" s="350"/>
      <c r="E210" s="312"/>
      <c r="F210" s="183" t="s">
        <v>10</v>
      </c>
      <c r="G210" s="306"/>
      <c r="H210" s="307"/>
      <c r="I210" s="307"/>
      <c r="J210" s="308"/>
      <c r="K210" s="309"/>
      <c r="L210" s="188" t="str">
        <f t="shared" si="38"/>
        <v>-</v>
      </c>
      <c r="M210" s="196" t="str">
        <f t="shared" si="45"/>
        <v>-</v>
      </c>
      <c r="N210" s="197" t="str">
        <f t="shared" si="46"/>
        <v>-</v>
      </c>
      <c r="O210" s="188" t="str">
        <f t="shared" si="47"/>
        <v>-</v>
      </c>
      <c r="P210" s="150" t="str">
        <f t="shared" si="48"/>
        <v>-</v>
      </c>
      <c r="Q210" s="198" t="str">
        <f t="shared" si="49"/>
        <v>-</v>
      </c>
      <c r="R210" s="202" t="str">
        <f t="shared" si="50"/>
        <v>-</v>
      </c>
      <c r="S210" s="198" t="str">
        <f>IF(Q210="-","-",VLOOKUP(B210,'UEstandar-Uexp'!$A$125:$Z$324,11))</f>
        <v>-</v>
      </c>
      <c r="T210" s="190" t="s">
        <v>32</v>
      </c>
      <c r="U210" s="430" t="s">
        <v>32</v>
      </c>
      <c r="V210" s="430"/>
    </row>
    <row r="211" spans="2:22" ht="17.75" customHeight="1">
      <c r="B211" s="166">
        <f>IF(F211="M",COUNTIF($F$36:F211,"M"),"-")</f>
        <v>154</v>
      </c>
      <c r="C211" s="350"/>
      <c r="D211" s="350"/>
      <c r="E211" s="312"/>
      <c r="F211" s="183" t="s">
        <v>10</v>
      </c>
      <c r="G211" s="308"/>
      <c r="H211" s="307"/>
      <c r="I211" s="307"/>
      <c r="J211" s="308"/>
      <c r="K211" s="309"/>
      <c r="L211" s="188" t="str">
        <f t="shared" si="38"/>
        <v>-</v>
      </c>
      <c r="M211" s="196" t="str">
        <f t="shared" si="45"/>
        <v>-</v>
      </c>
      <c r="N211" s="197" t="str">
        <f t="shared" si="46"/>
        <v>-</v>
      </c>
      <c r="O211" s="188" t="str">
        <f t="shared" si="47"/>
        <v>-</v>
      </c>
      <c r="P211" s="150" t="str">
        <f t="shared" si="48"/>
        <v>-</v>
      </c>
      <c r="Q211" s="198" t="str">
        <f t="shared" si="49"/>
        <v>-</v>
      </c>
      <c r="R211" s="202" t="str">
        <f t="shared" si="50"/>
        <v>-</v>
      </c>
      <c r="S211" s="198" t="str">
        <f>IF(Q211="-","-",VLOOKUP(B211,'UEstandar-Uexp'!$A$125:$Z$324,11))</f>
        <v>-</v>
      </c>
      <c r="T211" s="190" t="s">
        <v>32</v>
      </c>
      <c r="U211" s="430" t="s">
        <v>32</v>
      </c>
      <c r="V211" s="430"/>
    </row>
    <row r="212" spans="2:22" ht="17.75" customHeight="1">
      <c r="B212" s="166">
        <f>IF(F212="M",COUNTIF($F$36:F212,"M"),"-")</f>
        <v>155</v>
      </c>
      <c r="C212" s="350"/>
      <c r="D212" s="350"/>
      <c r="E212" s="312"/>
      <c r="F212" s="183" t="s">
        <v>10</v>
      </c>
      <c r="G212" s="304"/>
      <c r="H212" s="307"/>
      <c r="I212" s="307"/>
      <c r="J212" s="308"/>
      <c r="K212" s="309"/>
      <c r="L212" s="188" t="str">
        <f t="shared" si="38"/>
        <v>-</v>
      </c>
      <c r="M212" s="196" t="str">
        <f t="shared" si="45"/>
        <v>-</v>
      </c>
      <c r="N212" s="197" t="str">
        <f t="shared" si="46"/>
        <v>-</v>
      </c>
      <c r="O212" s="188" t="str">
        <f t="shared" si="47"/>
        <v>-</v>
      </c>
      <c r="P212" s="150" t="str">
        <f t="shared" si="48"/>
        <v>-</v>
      </c>
      <c r="Q212" s="198" t="str">
        <f t="shared" si="49"/>
        <v>-</v>
      </c>
      <c r="R212" s="202" t="str">
        <f t="shared" si="50"/>
        <v>-</v>
      </c>
      <c r="S212" s="198" t="str">
        <f>IF(Q212="-","-",VLOOKUP(B212,'UEstandar-Uexp'!$A$125:$Z$324,11))</f>
        <v>-</v>
      </c>
      <c r="T212" s="190" t="s">
        <v>32</v>
      </c>
      <c r="U212" s="430" t="s">
        <v>32</v>
      </c>
      <c r="V212" s="430"/>
    </row>
    <row r="213" spans="2:22" ht="17.75" customHeight="1">
      <c r="B213" s="166">
        <f>IF(F213="M",COUNTIF($F$36:F213,"M"),"-")</f>
        <v>156</v>
      </c>
      <c r="C213" s="350"/>
      <c r="D213" s="350"/>
      <c r="E213" s="312"/>
      <c r="F213" s="183" t="s">
        <v>10</v>
      </c>
      <c r="G213" s="308"/>
      <c r="H213" s="307"/>
      <c r="I213" s="307"/>
      <c r="J213" s="308"/>
      <c r="K213" s="310"/>
      <c r="L213" s="188" t="str">
        <f t="shared" si="38"/>
        <v>-</v>
      </c>
      <c r="M213" s="196" t="str">
        <f t="shared" si="45"/>
        <v>-</v>
      </c>
      <c r="N213" s="197" t="str">
        <f t="shared" si="46"/>
        <v>-</v>
      </c>
      <c r="O213" s="188" t="str">
        <f t="shared" si="47"/>
        <v>-</v>
      </c>
      <c r="P213" s="150" t="str">
        <f t="shared" si="48"/>
        <v>-</v>
      </c>
      <c r="Q213" s="198" t="str">
        <f t="shared" si="49"/>
        <v>-</v>
      </c>
      <c r="R213" s="202" t="str">
        <f t="shared" si="50"/>
        <v>-</v>
      </c>
      <c r="S213" s="198" t="str">
        <f>IF(Q213="-","-",VLOOKUP(B213,'UEstandar-Uexp'!$A$125:$Z$324,11))</f>
        <v>-</v>
      </c>
      <c r="T213" s="190" t="s">
        <v>32</v>
      </c>
      <c r="U213" s="430" t="s">
        <v>32</v>
      </c>
      <c r="V213" s="430"/>
    </row>
    <row r="214" spans="2:22" ht="17.75" customHeight="1">
      <c r="B214" s="166">
        <f>IF(F214="M",COUNTIF($F$36:F214,"M"),"-")</f>
        <v>157</v>
      </c>
      <c r="C214" s="350"/>
      <c r="D214" s="350"/>
      <c r="E214" s="312"/>
      <c r="F214" s="183" t="s">
        <v>10</v>
      </c>
      <c r="G214" s="308"/>
      <c r="H214" s="307"/>
      <c r="I214" s="307"/>
      <c r="J214" s="308"/>
      <c r="K214" s="310"/>
      <c r="L214" s="188" t="str">
        <f t="shared" si="38"/>
        <v>-</v>
      </c>
      <c r="M214" s="196" t="str">
        <f t="shared" si="45"/>
        <v>-</v>
      </c>
      <c r="N214" s="197" t="str">
        <f t="shared" si="46"/>
        <v>-</v>
      </c>
      <c r="O214" s="188" t="str">
        <f t="shared" si="47"/>
        <v>-</v>
      </c>
      <c r="P214" s="150" t="str">
        <f t="shared" si="48"/>
        <v>-</v>
      </c>
      <c r="Q214" s="198" t="str">
        <f t="shared" si="49"/>
        <v>-</v>
      </c>
      <c r="R214" s="202" t="str">
        <f t="shared" si="50"/>
        <v>-</v>
      </c>
      <c r="S214" s="198" t="str">
        <f>IF(Q214="-","-",VLOOKUP(B214,'UEstandar-Uexp'!$A$125:$Z$324,11))</f>
        <v>-</v>
      </c>
      <c r="T214" s="190" t="s">
        <v>32</v>
      </c>
      <c r="U214" s="430" t="s">
        <v>32</v>
      </c>
      <c r="V214" s="430"/>
    </row>
    <row r="215" spans="2:22" ht="17.75" customHeight="1">
      <c r="B215" s="166">
        <f>IF(F215="M",COUNTIF($F$36:F215,"M"),"-")</f>
        <v>158</v>
      </c>
      <c r="C215" s="350"/>
      <c r="D215" s="350"/>
      <c r="E215" s="312"/>
      <c r="F215" s="183" t="s">
        <v>10</v>
      </c>
      <c r="G215" s="308"/>
      <c r="H215" s="307"/>
      <c r="I215" s="307"/>
      <c r="J215" s="308"/>
      <c r="K215" s="311"/>
      <c r="L215" s="188" t="str">
        <f t="shared" si="38"/>
        <v>-</v>
      </c>
      <c r="M215" s="196" t="str">
        <f t="shared" si="45"/>
        <v>-</v>
      </c>
      <c r="N215" s="197" t="str">
        <f t="shared" si="46"/>
        <v>-</v>
      </c>
      <c r="O215" s="188" t="str">
        <f t="shared" si="47"/>
        <v>-</v>
      </c>
      <c r="P215" s="150" t="str">
        <f t="shared" si="48"/>
        <v>-</v>
      </c>
      <c r="Q215" s="198" t="str">
        <f t="shared" si="49"/>
        <v>-</v>
      </c>
      <c r="R215" s="202" t="str">
        <f t="shared" si="50"/>
        <v>-</v>
      </c>
      <c r="S215" s="198" t="str">
        <f>IF(Q215="-","-",VLOOKUP(B215,'UEstandar-Uexp'!$A$125:$Z$324,11))</f>
        <v>-</v>
      </c>
      <c r="T215" s="190" t="s">
        <v>32</v>
      </c>
      <c r="U215" s="430" t="s">
        <v>32</v>
      </c>
      <c r="V215" s="430"/>
    </row>
    <row r="216" spans="2:22" ht="17.75" customHeight="1">
      <c r="B216" s="166">
        <f>IF(F216="M",COUNTIF($F$36:F216,"M"),"-")</f>
        <v>159</v>
      </c>
      <c r="C216" s="350"/>
      <c r="D216" s="350"/>
      <c r="E216" s="312"/>
      <c r="F216" s="183" t="s">
        <v>10</v>
      </c>
      <c r="G216" s="308"/>
      <c r="H216" s="307"/>
      <c r="I216" s="307"/>
      <c r="J216" s="308"/>
      <c r="K216" s="311"/>
      <c r="L216" s="188" t="str">
        <f t="shared" si="38"/>
        <v>-</v>
      </c>
      <c r="M216" s="196" t="str">
        <f t="shared" si="45"/>
        <v>-</v>
      </c>
      <c r="N216" s="197" t="str">
        <f t="shared" si="46"/>
        <v>-</v>
      </c>
      <c r="O216" s="188" t="str">
        <f t="shared" si="47"/>
        <v>-</v>
      </c>
      <c r="P216" s="150" t="str">
        <f t="shared" si="48"/>
        <v>-</v>
      </c>
      <c r="Q216" s="198" t="str">
        <f t="shared" si="49"/>
        <v>-</v>
      </c>
      <c r="R216" s="202" t="str">
        <f t="shared" si="50"/>
        <v>-</v>
      </c>
      <c r="S216" s="198" t="str">
        <f>IF(Q216="-","-",VLOOKUP(B216,'UEstandar-Uexp'!$A$125:$Z$324,11))</f>
        <v>-</v>
      </c>
      <c r="T216" s="190" t="s">
        <v>32</v>
      </c>
      <c r="U216" s="430" t="s">
        <v>32</v>
      </c>
      <c r="V216" s="430"/>
    </row>
    <row r="217" spans="2:22" ht="17.75" customHeight="1">
      <c r="B217" s="166">
        <f>IF(F217="M",COUNTIF($F$36:F217,"M"),"-")</f>
        <v>160</v>
      </c>
      <c r="C217" s="350"/>
      <c r="D217" s="350"/>
      <c r="E217" s="312"/>
      <c r="F217" s="183" t="s">
        <v>10</v>
      </c>
      <c r="G217" s="308"/>
      <c r="H217" s="307"/>
      <c r="I217" s="307"/>
      <c r="J217" s="308"/>
      <c r="K217" s="311"/>
      <c r="L217" s="188" t="str">
        <f t="shared" si="38"/>
        <v>-</v>
      </c>
      <c r="M217" s="196" t="str">
        <f t="shared" si="45"/>
        <v>-</v>
      </c>
      <c r="N217" s="197" t="str">
        <f t="shared" si="46"/>
        <v>-</v>
      </c>
      <c r="O217" s="188" t="str">
        <f t="shared" si="47"/>
        <v>-</v>
      </c>
      <c r="P217" s="150" t="str">
        <f t="shared" si="48"/>
        <v>-</v>
      </c>
      <c r="Q217" s="198" t="str">
        <f t="shared" si="49"/>
        <v>-</v>
      </c>
      <c r="R217" s="202" t="str">
        <f t="shared" si="50"/>
        <v>-</v>
      </c>
      <c r="S217" s="198" t="str">
        <f>IF(Q217="-","-",VLOOKUP(B217,'UEstandar-Uexp'!$A$125:$Z$324,11))</f>
        <v>-</v>
      </c>
      <c r="T217" s="190" t="s">
        <v>32</v>
      </c>
      <c r="U217" s="430" t="s">
        <v>32</v>
      </c>
      <c r="V217" s="430"/>
    </row>
    <row r="218" spans="2:22" ht="17.75" customHeight="1">
      <c r="B218" s="191" t="s">
        <v>32</v>
      </c>
      <c r="C218" s="184">
        <f>Datos!$J$14</f>
        <v>2.5</v>
      </c>
      <c r="D218" s="184" t="s">
        <v>126</v>
      </c>
      <c r="E218" s="185"/>
      <c r="F218" s="192" t="s">
        <v>118</v>
      </c>
      <c r="G218" s="187" t="s">
        <v>32</v>
      </c>
      <c r="H218" s="193" t="s">
        <v>32</v>
      </c>
      <c r="I218" s="193" t="s">
        <v>32</v>
      </c>
      <c r="J218" s="194" t="s">
        <v>32</v>
      </c>
      <c r="K218" s="309"/>
      <c r="L218" s="188" t="str">
        <f t="shared" si="38"/>
        <v>-</v>
      </c>
      <c r="M218" s="190" t="s">
        <v>32</v>
      </c>
      <c r="N218" s="190" t="s">
        <v>32</v>
      </c>
      <c r="O218" s="190" t="s">
        <v>32</v>
      </c>
      <c r="P218" s="150" t="s">
        <v>32</v>
      </c>
      <c r="Q218" s="190" t="s">
        <v>32</v>
      </c>
      <c r="R218" s="189" t="s">
        <v>32</v>
      </c>
      <c r="S218" s="190" t="s">
        <v>32</v>
      </c>
      <c r="T218" s="195" t="str">
        <f>IF(K218="","-",ROUND(100*(L218-C218)/C218,1))</f>
        <v>-</v>
      </c>
      <c r="U218" s="431" t="str">
        <f>IF(K218="","-",IF(AND(T218&lt;=$T$15,T218&gt;=-$T$15),"Cumple","No cumple"))</f>
        <v>-</v>
      </c>
      <c r="V218" s="431"/>
    </row>
    <row r="219" spans="2:22" ht="17.75" customHeight="1">
      <c r="B219" s="191" t="s">
        <v>32</v>
      </c>
      <c r="C219" s="350"/>
      <c r="D219" s="350"/>
      <c r="E219" s="200"/>
      <c r="F219" s="192" t="s">
        <v>117</v>
      </c>
      <c r="G219" s="306"/>
      <c r="H219" s="307"/>
      <c r="I219" s="307"/>
      <c r="J219" s="308"/>
      <c r="K219" s="309"/>
      <c r="L219" s="188" t="str">
        <f t="shared" si="38"/>
        <v>-</v>
      </c>
      <c r="M219" s="196" t="str">
        <f t="shared" ref="M219:M240" si="51">IF(G219="","-",G219+(AA$10*G219))</f>
        <v>-</v>
      </c>
      <c r="N219" s="197" t="str">
        <f t="shared" ref="N219:N240" si="52">IF(H219="","-",IF(H219&lt;=X$19,H219*Z$18+AA$18,H219*Z$19+AA$19))</f>
        <v>-</v>
      </c>
      <c r="O219" s="188" t="str">
        <f t="shared" ref="O219:O240" si="53">IF(I219="","-",$Z$26)</f>
        <v>-</v>
      </c>
      <c r="P219" s="150" t="str">
        <f t="shared" ref="P219:P240" si="54">IF(J219="","-",IF(J219&lt;=AC$19,J219*AE$18+AF$18,J219*AE$19+AF$19))</f>
        <v>-</v>
      </c>
      <c r="Q219" s="198" t="str">
        <f>IF(K219="","-",(L219*(N219/M219)*(O219/P219)))</f>
        <v>-</v>
      </c>
      <c r="R219" s="189" t="s">
        <v>32</v>
      </c>
      <c r="S219" s="190" t="s">
        <v>32</v>
      </c>
      <c r="T219" s="199" t="s">
        <v>32</v>
      </c>
      <c r="U219" s="431" t="str">
        <f>IF(K219="","-",IF(AND(Q219&gt;=$V$17,VALUE(Q219)&lt;=$T$17),"Cumple","No Cumple"))</f>
        <v>-</v>
      </c>
      <c r="V219" s="431"/>
    </row>
    <row r="220" spans="2:22" ht="17.75" customHeight="1">
      <c r="B220" s="191" t="s">
        <v>195</v>
      </c>
      <c r="C220" s="350"/>
      <c r="D220" s="350"/>
      <c r="E220" s="200"/>
      <c r="F220" s="195" t="s">
        <v>11</v>
      </c>
      <c r="G220" s="308"/>
      <c r="H220" s="307"/>
      <c r="I220" s="307"/>
      <c r="J220" s="308"/>
      <c r="K220" s="310"/>
      <c r="L220" s="188" t="str">
        <f t="shared" si="38"/>
        <v>-</v>
      </c>
      <c r="M220" s="196" t="str">
        <f t="shared" si="51"/>
        <v>-</v>
      </c>
      <c r="N220" s="197" t="str">
        <f t="shared" si="52"/>
        <v>-</v>
      </c>
      <c r="O220" s="188" t="str">
        <f t="shared" si="53"/>
        <v>-</v>
      </c>
      <c r="P220" s="150" t="str">
        <f t="shared" si="54"/>
        <v>-</v>
      </c>
      <c r="Q220" s="198" t="str">
        <f t="shared" ref="Q220:Q240" si="55">IF(K220="","-",ROUND((L220*(N220/M220)*(O220/P220)),2))</f>
        <v>-</v>
      </c>
      <c r="R220" s="189" t="s">
        <v>32</v>
      </c>
      <c r="S220" s="190" t="s">
        <v>32</v>
      </c>
      <c r="T220" s="201" t="str">
        <f>IF(C220="","-",ROUND(2*(Q220-Q221)*100/(Q220+Q221),1))</f>
        <v>-</v>
      </c>
      <c r="U220" s="431" t="str">
        <f>IF(K220="","-",IF(AND(T220&lt;=$T$16,T220&gt;=-$T$16),"Cumple","No cumple"))</f>
        <v>-</v>
      </c>
      <c r="V220" s="431"/>
    </row>
    <row r="221" spans="2:22" ht="17.75" customHeight="1">
      <c r="B221" s="166">
        <f>IF(F221="M",COUNTIF($F$36:F221,"M"),"-")</f>
        <v>161</v>
      </c>
      <c r="C221" s="350"/>
      <c r="D221" s="350"/>
      <c r="E221" s="312"/>
      <c r="F221" s="183" t="s">
        <v>10</v>
      </c>
      <c r="G221" s="304"/>
      <c r="H221" s="307"/>
      <c r="I221" s="307"/>
      <c r="J221" s="308"/>
      <c r="K221" s="310"/>
      <c r="L221" s="188" t="str">
        <f t="shared" si="38"/>
        <v>-</v>
      </c>
      <c r="M221" s="196" t="str">
        <f t="shared" si="51"/>
        <v>-</v>
      </c>
      <c r="N221" s="197" t="str">
        <f t="shared" si="52"/>
        <v>-</v>
      </c>
      <c r="O221" s="188" t="str">
        <f t="shared" si="53"/>
        <v>-</v>
      </c>
      <c r="P221" s="150" t="str">
        <f t="shared" si="54"/>
        <v>-</v>
      </c>
      <c r="Q221" s="198" t="str">
        <f t="shared" si="55"/>
        <v>-</v>
      </c>
      <c r="R221" s="202" t="str">
        <f>IF(Q221="","-",IF(Q221&lt;$Q$19,"&lt; LC","-"))</f>
        <v>-</v>
      </c>
      <c r="S221" s="198" t="str">
        <f>IF(Q221="-","-",VLOOKUP(B221,'UEstandar-Uexp'!$A$125:$Z$324,11))</f>
        <v>-</v>
      </c>
      <c r="T221" s="190" t="s">
        <v>32</v>
      </c>
      <c r="U221" s="430" t="s">
        <v>32</v>
      </c>
      <c r="V221" s="430"/>
    </row>
    <row r="222" spans="2:22" ht="17.75" customHeight="1">
      <c r="B222" s="166">
        <f>IF(F222="M",COUNTIF($F$36:F222,"M"),"-")</f>
        <v>162</v>
      </c>
      <c r="C222" s="350"/>
      <c r="D222" s="350"/>
      <c r="E222" s="312"/>
      <c r="F222" s="183" t="s">
        <v>10</v>
      </c>
      <c r="G222" s="308"/>
      <c r="H222" s="307"/>
      <c r="I222" s="307"/>
      <c r="J222" s="308"/>
      <c r="K222" s="311"/>
      <c r="L222" s="188" t="str">
        <f t="shared" si="38"/>
        <v>-</v>
      </c>
      <c r="M222" s="196" t="str">
        <f t="shared" si="51"/>
        <v>-</v>
      </c>
      <c r="N222" s="197" t="str">
        <f t="shared" si="52"/>
        <v>-</v>
      </c>
      <c r="O222" s="188" t="str">
        <f t="shared" si="53"/>
        <v>-</v>
      </c>
      <c r="P222" s="150" t="str">
        <f t="shared" si="54"/>
        <v>-</v>
      </c>
      <c r="Q222" s="198" t="str">
        <f t="shared" si="55"/>
        <v>-</v>
      </c>
      <c r="R222" s="202" t="str">
        <f t="shared" ref="R222:R240" si="56">IF(Q222="","-",IF(Q222&lt;$Q$19,"&lt; LC","-"))</f>
        <v>-</v>
      </c>
      <c r="S222" s="198" t="str">
        <f>IF(Q222="-","-",VLOOKUP(B222,'UEstandar-Uexp'!$A$125:$Z$324,11))</f>
        <v>-</v>
      </c>
      <c r="T222" s="190" t="s">
        <v>32</v>
      </c>
      <c r="U222" s="430" t="s">
        <v>32</v>
      </c>
      <c r="V222" s="430"/>
    </row>
    <row r="223" spans="2:22" ht="17.75" customHeight="1">
      <c r="B223" s="166">
        <f>IF(F223="M",COUNTIF($F$36:F223,"M"),"-")</f>
        <v>163</v>
      </c>
      <c r="C223" s="350"/>
      <c r="D223" s="350"/>
      <c r="E223" s="312"/>
      <c r="F223" s="183" t="s">
        <v>10</v>
      </c>
      <c r="G223" s="308"/>
      <c r="H223" s="307"/>
      <c r="I223" s="307"/>
      <c r="J223" s="308"/>
      <c r="K223" s="311"/>
      <c r="L223" s="188" t="str">
        <f t="shared" si="38"/>
        <v>-</v>
      </c>
      <c r="M223" s="196" t="str">
        <f t="shared" si="51"/>
        <v>-</v>
      </c>
      <c r="N223" s="197" t="str">
        <f t="shared" si="52"/>
        <v>-</v>
      </c>
      <c r="O223" s="188" t="str">
        <f t="shared" si="53"/>
        <v>-</v>
      </c>
      <c r="P223" s="150" t="str">
        <f t="shared" si="54"/>
        <v>-</v>
      </c>
      <c r="Q223" s="198" t="str">
        <f t="shared" si="55"/>
        <v>-</v>
      </c>
      <c r="R223" s="202" t="str">
        <f t="shared" si="56"/>
        <v>-</v>
      </c>
      <c r="S223" s="198" t="str">
        <f>IF(Q223="-","-",VLOOKUP(B223,'UEstandar-Uexp'!$A$125:$Z$324,11))</f>
        <v>-</v>
      </c>
      <c r="T223" s="190" t="s">
        <v>32</v>
      </c>
      <c r="U223" s="430" t="s">
        <v>32</v>
      </c>
      <c r="V223" s="430"/>
    </row>
    <row r="224" spans="2:22" ht="17.75" customHeight="1">
      <c r="B224" s="166">
        <f>IF(F224="M",COUNTIF($F$36:F224,"M"),"-")</f>
        <v>164</v>
      </c>
      <c r="C224" s="350"/>
      <c r="D224" s="350"/>
      <c r="E224" s="312"/>
      <c r="F224" s="183" t="s">
        <v>10</v>
      </c>
      <c r="G224" s="308"/>
      <c r="H224" s="307"/>
      <c r="I224" s="307"/>
      <c r="J224" s="308"/>
      <c r="K224" s="311"/>
      <c r="L224" s="188" t="str">
        <f t="shared" si="38"/>
        <v>-</v>
      </c>
      <c r="M224" s="196" t="str">
        <f t="shared" si="51"/>
        <v>-</v>
      </c>
      <c r="N224" s="197" t="str">
        <f t="shared" si="52"/>
        <v>-</v>
      </c>
      <c r="O224" s="188" t="str">
        <f t="shared" si="53"/>
        <v>-</v>
      </c>
      <c r="P224" s="150" t="str">
        <f t="shared" si="54"/>
        <v>-</v>
      </c>
      <c r="Q224" s="198" t="str">
        <f t="shared" si="55"/>
        <v>-</v>
      </c>
      <c r="R224" s="202" t="str">
        <f t="shared" si="56"/>
        <v>-</v>
      </c>
      <c r="S224" s="198" t="str">
        <f>IF(Q224="-","-",VLOOKUP(B224,'UEstandar-Uexp'!$A$125:$Z$324,11))</f>
        <v>-</v>
      </c>
      <c r="T224" s="190" t="s">
        <v>32</v>
      </c>
      <c r="U224" s="430" t="s">
        <v>32</v>
      </c>
      <c r="V224" s="430"/>
    </row>
    <row r="225" spans="2:22" ht="17.75" customHeight="1">
      <c r="B225" s="166">
        <f>IF(F225="M",COUNTIF($F$36:F225,"M"),"-")</f>
        <v>165</v>
      </c>
      <c r="C225" s="350"/>
      <c r="D225" s="350"/>
      <c r="E225" s="312"/>
      <c r="F225" s="183" t="s">
        <v>10</v>
      </c>
      <c r="G225" s="308"/>
      <c r="H225" s="307"/>
      <c r="I225" s="307"/>
      <c r="J225" s="308"/>
      <c r="K225" s="311"/>
      <c r="L225" s="188" t="str">
        <f t="shared" si="38"/>
        <v>-</v>
      </c>
      <c r="M225" s="196" t="str">
        <f t="shared" si="51"/>
        <v>-</v>
      </c>
      <c r="N225" s="197" t="str">
        <f t="shared" si="52"/>
        <v>-</v>
      </c>
      <c r="O225" s="188" t="str">
        <f t="shared" si="53"/>
        <v>-</v>
      </c>
      <c r="P225" s="150" t="str">
        <f t="shared" si="54"/>
        <v>-</v>
      </c>
      <c r="Q225" s="198" t="str">
        <f t="shared" si="55"/>
        <v>-</v>
      </c>
      <c r="R225" s="202" t="str">
        <f t="shared" si="56"/>
        <v>-</v>
      </c>
      <c r="S225" s="198" t="str">
        <f>IF(Q225="-","-",VLOOKUP(B225,'UEstandar-Uexp'!$A$125:$Z$324,11))</f>
        <v>-</v>
      </c>
      <c r="T225" s="190" t="s">
        <v>32</v>
      </c>
      <c r="U225" s="430" t="s">
        <v>32</v>
      </c>
      <c r="V225" s="430"/>
    </row>
    <row r="226" spans="2:22" ht="17.75" customHeight="1">
      <c r="B226" s="166">
        <f>IF(F226="M",COUNTIF($F$36:F226,"M"),"-")</f>
        <v>166</v>
      </c>
      <c r="C226" s="350"/>
      <c r="D226" s="350"/>
      <c r="E226" s="312"/>
      <c r="F226" s="183" t="s">
        <v>10</v>
      </c>
      <c r="G226" s="308"/>
      <c r="H226" s="307"/>
      <c r="I226" s="307"/>
      <c r="J226" s="308"/>
      <c r="K226" s="311"/>
      <c r="L226" s="188" t="str">
        <f t="shared" ref="L226:L263" si="57">IF(K226="","-",((K226-AVERAGE($K$32:$K$33)-$O$16)/$O$15))</f>
        <v>-</v>
      </c>
      <c r="M226" s="196" t="str">
        <f t="shared" si="51"/>
        <v>-</v>
      </c>
      <c r="N226" s="197" t="str">
        <f t="shared" si="52"/>
        <v>-</v>
      </c>
      <c r="O226" s="188" t="str">
        <f t="shared" si="53"/>
        <v>-</v>
      </c>
      <c r="P226" s="150" t="str">
        <f t="shared" si="54"/>
        <v>-</v>
      </c>
      <c r="Q226" s="198" t="str">
        <f t="shared" si="55"/>
        <v>-</v>
      </c>
      <c r="R226" s="202" t="str">
        <f t="shared" si="56"/>
        <v>-</v>
      </c>
      <c r="S226" s="198" t="str">
        <f>IF(Q226="-","-",VLOOKUP(B226,'UEstandar-Uexp'!$A$125:$Z$324,11))</f>
        <v>-</v>
      </c>
      <c r="T226" s="190" t="s">
        <v>32</v>
      </c>
      <c r="U226" s="430" t="s">
        <v>32</v>
      </c>
      <c r="V226" s="430"/>
    </row>
    <row r="227" spans="2:22" ht="17.75" customHeight="1">
      <c r="B227" s="166">
        <f>IF(F227="M",COUNTIF($F$36:F227,"M"),"-")</f>
        <v>167</v>
      </c>
      <c r="C227" s="350"/>
      <c r="D227" s="350"/>
      <c r="E227" s="312"/>
      <c r="F227" s="183" t="s">
        <v>10</v>
      </c>
      <c r="G227" s="306"/>
      <c r="H227" s="307"/>
      <c r="I227" s="307"/>
      <c r="J227" s="308"/>
      <c r="K227" s="311"/>
      <c r="L227" s="188" t="str">
        <f t="shared" si="57"/>
        <v>-</v>
      </c>
      <c r="M227" s="196" t="str">
        <f t="shared" si="51"/>
        <v>-</v>
      </c>
      <c r="N227" s="197" t="str">
        <f t="shared" si="52"/>
        <v>-</v>
      </c>
      <c r="O227" s="188" t="str">
        <f t="shared" si="53"/>
        <v>-</v>
      </c>
      <c r="P227" s="150" t="str">
        <f t="shared" si="54"/>
        <v>-</v>
      </c>
      <c r="Q227" s="198" t="str">
        <f t="shared" si="55"/>
        <v>-</v>
      </c>
      <c r="R227" s="202" t="str">
        <f t="shared" si="56"/>
        <v>-</v>
      </c>
      <c r="S227" s="198" t="str">
        <f>IF(Q227="-","-",VLOOKUP(B227,'UEstandar-Uexp'!$A$125:$Z$324,11))</f>
        <v>-</v>
      </c>
      <c r="T227" s="190" t="s">
        <v>32</v>
      </c>
      <c r="U227" s="430" t="s">
        <v>32</v>
      </c>
      <c r="V227" s="430"/>
    </row>
    <row r="228" spans="2:22" ht="17.75" customHeight="1">
      <c r="B228" s="166">
        <f>IF(F228="M",COUNTIF($F$36:F228,"M"),"-")</f>
        <v>168</v>
      </c>
      <c r="C228" s="350"/>
      <c r="D228" s="350"/>
      <c r="E228" s="312"/>
      <c r="F228" s="183" t="s">
        <v>10</v>
      </c>
      <c r="G228" s="308"/>
      <c r="H228" s="307"/>
      <c r="I228" s="307"/>
      <c r="J228" s="308"/>
      <c r="K228" s="311"/>
      <c r="L228" s="188" t="str">
        <f t="shared" si="57"/>
        <v>-</v>
      </c>
      <c r="M228" s="196" t="str">
        <f t="shared" si="51"/>
        <v>-</v>
      </c>
      <c r="N228" s="197" t="str">
        <f t="shared" si="52"/>
        <v>-</v>
      </c>
      <c r="O228" s="188" t="str">
        <f t="shared" si="53"/>
        <v>-</v>
      </c>
      <c r="P228" s="150" t="str">
        <f t="shared" si="54"/>
        <v>-</v>
      </c>
      <c r="Q228" s="198" t="str">
        <f t="shared" si="55"/>
        <v>-</v>
      </c>
      <c r="R228" s="202" t="str">
        <f t="shared" si="56"/>
        <v>-</v>
      </c>
      <c r="S228" s="198" t="str">
        <f>IF(Q228="-","-",VLOOKUP(B228,'UEstandar-Uexp'!$A$125:$Z$324,11))</f>
        <v>-</v>
      </c>
      <c r="T228" s="190" t="s">
        <v>32</v>
      </c>
      <c r="U228" s="430" t="s">
        <v>32</v>
      </c>
      <c r="V228" s="430"/>
    </row>
    <row r="229" spans="2:22" ht="17.75" customHeight="1">
      <c r="B229" s="166">
        <f>IF(F229="M",COUNTIF($F$36:F229,"M"),"-")</f>
        <v>169</v>
      </c>
      <c r="C229" s="350"/>
      <c r="D229" s="350"/>
      <c r="E229" s="312"/>
      <c r="F229" s="183" t="s">
        <v>10</v>
      </c>
      <c r="G229" s="304"/>
      <c r="H229" s="307"/>
      <c r="I229" s="307"/>
      <c r="J229" s="308"/>
      <c r="K229" s="311"/>
      <c r="L229" s="188" t="str">
        <f t="shared" si="57"/>
        <v>-</v>
      </c>
      <c r="M229" s="196" t="str">
        <f t="shared" si="51"/>
        <v>-</v>
      </c>
      <c r="N229" s="197" t="str">
        <f t="shared" si="52"/>
        <v>-</v>
      </c>
      <c r="O229" s="188" t="str">
        <f t="shared" si="53"/>
        <v>-</v>
      </c>
      <c r="P229" s="150" t="str">
        <f t="shared" si="54"/>
        <v>-</v>
      </c>
      <c r="Q229" s="198" t="str">
        <f t="shared" si="55"/>
        <v>-</v>
      </c>
      <c r="R229" s="202" t="str">
        <f t="shared" si="56"/>
        <v>-</v>
      </c>
      <c r="S229" s="198" t="str">
        <f>IF(Q229="-","-",VLOOKUP(B229,'UEstandar-Uexp'!$A$125:$Z$324,11))</f>
        <v>-</v>
      </c>
      <c r="T229" s="190" t="s">
        <v>32</v>
      </c>
      <c r="U229" s="430" t="s">
        <v>32</v>
      </c>
      <c r="V229" s="430"/>
    </row>
    <row r="230" spans="2:22" ht="17.75" customHeight="1">
      <c r="B230" s="166">
        <f>IF(F230="M",COUNTIF($F$36:F230,"M"),"-")</f>
        <v>170</v>
      </c>
      <c r="C230" s="350"/>
      <c r="D230" s="350"/>
      <c r="E230" s="312"/>
      <c r="F230" s="183" t="s">
        <v>10</v>
      </c>
      <c r="G230" s="308"/>
      <c r="H230" s="307"/>
      <c r="I230" s="307"/>
      <c r="J230" s="308"/>
      <c r="K230" s="309"/>
      <c r="L230" s="188" t="str">
        <f t="shared" si="57"/>
        <v>-</v>
      </c>
      <c r="M230" s="196" t="str">
        <f t="shared" si="51"/>
        <v>-</v>
      </c>
      <c r="N230" s="197" t="str">
        <f t="shared" si="52"/>
        <v>-</v>
      </c>
      <c r="O230" s="188" t="str">
        <f t="shared" si="53"/>
        <v>-</v>
      </c>
      <c r="P230" s="150" t="str">
        <f t="shared" si="54"/>
        <v>-</v>
      </c>
      <c r="Q230" s="198" t="str">
        <f t="shared" si="55"/>
        <v>-</v>
      </c>
      <c r="R230" s="202" t="str">
        <f t="shared" si="56"/>
        <v>-</v>
      </c>
      <c r="S230" s="198" t="str">
        <f>IF(Q230="-","-",VLOOKUP(B230,'UEstandar-Uexp'!$A$125:$Z$324,11))</f>
        <v>-</v>
      </c>
      <c r="T230" s="190" t="s">
        <v>32</v>
      </c>
      <c r="U230" s="430" t="s">
        <v>32</v>
      </c>
      <c r="V230" s="430"/>
    </row>
    <row r="231" spans="2:22" ht="17.75" customHeight="1">
      <c r="B231" s="166">
        <f>IF(F231="M",COUNTIF($F$36:F231,"M"),"-")</f>
        <v>171</v>
      </c>
      <c r="C231" s="350"/>
      <c r="D231" s="350"/>
      <c r="E231" s="312"/>
      <c r="F231" s="183" t="s">
        <v>10</v>
      </c>
      <c r="G231" s="308"/>
      <c r="H231" s="307"/>
      <c r="I231" s="307"/>
      <c r="J231" s="308"/>
      <c r="K231" s="309"/>
      <c r="L231" s="188" t="str">
        <f t="shared" si="57"/>
        <v>-</v>
      </c>
      <c r="M231" s="196" t="str">
        <f t="shared" si="51"/>
        <v>-</v>
      </c>
      <c r="N231" s="197" t="str">
        <f t="shared" si="52"/>
        <v>-</v>
      </c>
      <c r="O231" s="188" t="str">
        <f t="shared" si="53"/>
        <v>-</v>
      </c>
      <c r="P231" s="150" t="str">
        <f t="shared" si="54"/>
        <v>-</v>
      </c>
      <c r="Q231" s="198" t="str">
        <f t="shared" si="55"/>
        <v>-</v>
      </c>
      <c r="R231" s="202" t="str">
        <f t="shared" si="56"/>
        <v>-</v>
      </c>
      <c r="S231" s="198" t="str">
        <f>IF(Q231="-","-",VLOOKUP(B231,'UEstandar-Uexp'!$A$125:$Z$324,11))</f>
        <v>-</v>
      </c>
      <c r="T231" s="190" t="s">
        <v>32</v>
      </c>
      <c r="U231" s="430" t="s">
        <v>32</v>
      </c>
      <c r="V231" s="430"/>
    </row>
    <row r="232" spans="2:22" ht="17.75" customHeight="1">
      <c r="B232" s="166">
        <f>IF(F232="M",COUNTIF($F$36:F232,"M"),"-")</f>
        <v>172</v>
      </c>
      <c r="C232" s="350"/>
      <c r="D232" s="350"/>
      <c r="E232" s="312"/>
      <c r="F232" s="183" t="s">
        <v>10</v>
      </c>
      <c r="G232" s="308"/>
      <c r="H232" s="307"/>
      <c r="I232" s="307"/>
      <c r="J232" s="308"/>
      <c r="K232" s="309"/>
      <c r="L232" s="188" t="str">
        <f t="shared" si="57"/>
        <v>-</v>
      </c>
      <c r="M232" s="196" t="str">
        <f t="shared" si="51"/>
        <v>-</v>
      </c>
      <c r="N232" s="197" t="str">
        <f t="shared" si="52"/>
        <v>-</v>
      </c>
      <c r="O232" s="188" t="str">
        <f t="shared" si="53"/>
        <v>-</v>
      </c>
      <c r="P232" s="150" t="str">
        <f t="shared" si="54"/>
        <v>-</v>
      </c>
      <c r="Q232" s="198" t="str">
        <f t="shared" si="55"/>
        <v>-</v>
      </c>
      <c r="R232" s="202" t="str">
        <f t="shared" si="56"/>
        <v>-</v>
      </c>
      <c r="S232" s="198" t="str">
        <f>IF(Q232="-","-",VLOOKUP(B232,'UEstandar-Uexp'!$A$125:$Z$324,11))</f>
        <v>-</v>
      </c>
      <c r="T232" s="190" t="s">
        <v>32</v>
      </c>
      <c r="U232" s="430" t="s">
        <v>32</v>
      </c>
      <c r="V232" s="430"/>
    </row>
    <row r="233" spans="2:22" ht="17.75" customHeight="1">
      <c r="B233" s="166">
        <f>IF(F233="M",COUNTIF($F$36:F233,"M"),"-")</f>
        <v>173</v>
      </c>
      <c r="C233" s="350"/>
      <c r="D233" s="350"/>
      <c r="E233" s="312"/>
      <c r="F233" s="183" t="s">
        <v>10</v>
      </c>
      <c r="G233" s="306"/>
      <c r="H233" s="307"/>
      <c r="I233" s="307"/>
      <c r="J233" s="308"/>
      <c r="K233" s="309"/>
      <c r="L233" s="188" t="str">
        <f t="shared" si="57"/>
        <v>-</v>
      </c>
      <c r="M233" s="196" t="str">
        <f t="shared" si="51"/>
        <v>-</v>
      </c>
      <c r="N233" s="197" t="str">
        <f t="shared" si="52"/>
        <v>-</v>
      </c>
      <c r="O233" s="188" t="str">
        <f t="shared" si="53"/>
        <v>-</v>
      </c>
      <c r="P233" s="150" t="str">
        <f t="shared" si="54"/>
        <v>-</v>
      </c>
      <c r="Q233" s="198" t="str">
        <f t="shared" si="55"/>
        <v>-</v>
      </c>
      <c r="R233" s="202" t="str">
        <f t="shared" si="56"/>
        <v>-</v>
      </c>
      <c r="S233" s="198" t="str">
        <f>IF(Q233="-","-",VLOOKUP(B233,'UEstandar-Uexp'!$A$125:$Z$324,11))</f>
        <v>-</v>
      </c>
      <c r="T233" s="190" t="s">
        <v>32</v>
      </c>
      <c r="U233" s="430" t="s">
        <v>32</v>
      </c>
      <c r="V233" s="430"/>
    </row>
    <row r="234" spans="2:22" ht="17.75" customHeight="1">
      <c r="B234" s="166">
        <f>IF(F234="M",COUNTIF($F$36:F234,"M"),"-")</f>
        <v>174</v>
      </c>
      <c r="C234" s="350"/>
      <c r="D234" s="350"/>
      <c r="E234" s="312"/>
      <c r="F234" s="183" t="s">
        <v>10</v>
      </c>
      <c r="G234" s="308"/>
      <c r="H234" s="307"/>
      <c r="I234" s="307"/>
      <c r="J234" s="308"/>
      <c r="K234" s="309"/>
      <c r="L234" s="188" t="str">
        <f t="shared" si="57"/>
        <v>-</v>
      </c>
      <c r="M234" s="196" t="str">
        <f t="shared" si="51"/>
        <v>-</v>
      </c>
      <c r="N234" s="197" t="str">
        <f t="shared" si="52"/>
        <v>-</v>
      </c>
      <c r="O234" s="188" t="str">
        <f t="shared" si="53"/>
        <v>-</v>
      </c>
      <c r="P234" s="150" t="str">
        <f t="shared" si="54"/>
        <v>-</v>
      </c>
      <c r="Q234" s="198" t="str">
        <f t="shared" si="55"/>
        <v>-</v>
      </c>
      <c r="R234" s="202" t="str">
        <f t="shared" si="56"/>
        <v>-</v>
      </c>
      <c r="S234" s="198" t="str">
        <f>IF(Q234="-","-",VLOOKUP(B234,'UEstandar-Uexp'!$A$125:$Z$324,11))</f>
        <v>-</v>
      </c>
      <c r="T234" s="190" t="s">
        <v>32</v>
      </c>
      <c r="U234" s="430" t="s">
        <v>32</v>
      </c>
      <c r="V234" s="430"/>
    </row>
    <row r="235" spans="2:22" ht="17.75" customHeight="1">
      <c r="B235" s="166">
        <f>IF(F235="M",COUNTIF($F$36:F235,"M"),"-")</f>
        <v>175</v>
      </c>
      <c r="C235" s="350"/>
      <c r="D235" s="350"/>
      <c r="E235" s="312"/>
      <c r="F235" s="183" t="s">
        <v>10</v>
      </c>
      <c r="G235" s="304"/>
      <c r="H235" s="307"/>
      <c r="I235" s="307"/>
      <c r="J235" s="308"/>
      <c r="K235" s="309"/>
      <c r="L235" s="188" t="str">
        <f t="shared" si="57"/>
        <v>-</v>
      </c>
      <c r="M235" s="196" t="str">
        <f t="shared" si="51"/>
        <v>-</v>
      </c>
      <c r="N235" s="197" t="str">
        <f t="shared" si="52"/>
        <v>-</v>
      </c>
      <c r="O235" s="188" t="str">
        <f t="shared" si="53"/>
        <v>-</v>
      </c>
      <c r="P235" s="150" t="str">
        <f t="shared" si="54"/>
        <v>-</v>
      </c>
      <c r="Q235" s="198" t="str">
        <f t="shared" si="55"/>
        <v>-</v>
      </c>
      <c r="R235" s="202" t="str">
        <f t="shared" si="56"/>
        <v>-</v>
      </c>
      <c r="S235" s="198" t="str">
        <f>IF(Q235="-","-",VLOOKUP(B235,'UEstandar-Uexp'!$A$125:$Z$324,11))</f>
        <v>-</v>
      </c>
      <c r="T235" s="190" t="s">
        <v>32</v>
      </c>
      <c r="U235" s="430" t="s">
        <v>32</v>
      </c>
      <c r="V235" s="430"/>
    </row>
    <row r="236" spans="2:22" ht="17.75" customHeight="1">
      <c r="B236" s="166">
        <f>IF(F236="M",COUNTIF($F$36:F236,"M"),"-")</f>
        <v>176</v>
      </c>
      <c r="C236" s="350"/>
      <c r="D236" s="350"/>
      <c r="E236" s="312"/>
      <c r="F236" s="183" t="s">
        <v>10</v>
      </c>
      <c r="G236" s="308"/>
      <c r="H236" s="307"/>
      <c r="I236" s="307"/>
      <c r="J236" s="308"/>
      <c r="K236" s="310"/>
      <c r="L236" s="188" t="str">
        <f t="shared" si="57"/>
        <v>-</v>
      </c>
      <c r="M236" s="196" t="str">
        <f t="shared" si="51"/>
        <v>-</v>
      </c>
      <c r="N236" s="197" t="str">
        <f t="shared" si="52"/>
        <v>-</v>
      </c>
      <c r="O236" s="188" t="str">
        <f t="shared" si="53"/>
        <v>-</v>
      </c>
      <c r="P236" s="150" t="str">
        <f t="shared" si="54"/>
        <v>-</v>
      </c>
      <c r="Q236" s="198" t="str">
        <f t="shared" si="55"/>
        <v>-</v>
      </c>
      <c r="R236" s="202" t="str">
        <f t="shared" si="56"/>
        <v>-</v>
      </c>
      <c r="S236" s="198" t="str">
        <f>IF(Q236="-","-",VLOOKUP(B236,'UEstandar-Uexp'!$A$125:$Z$324,11))</f>
        <v>-</v>
      </c>
      <c r="T236" s="190" t="s">
        <v>32</v>
      </c>
      <c r="U236" s="430" t="s">
        <v>32</v>
      </c>
      <c r="V236" s="430"/>
    </row>
    <row r="237" spans="2:22" ht="17.75" customHeight="1">
      <c r="B237" s="166">
        <f>IF(F237="M",COUNTIF($F$36:F237,"M"),"-")</f>
        <v>177</v>
      </c>
      <c r="C237" s="350"/>
      <c r="D237" s="350"/>
      <c r="E237" s="312"/>
      <c r="F237" s="183" t="s">
        <v>10</v>
      </c>
      <c r="G237" s="308"/>
      <c r="H237" s="307"/>
      <c r="I237" s="307"/>
      <c r="J237" s="308"/>
      <c r="K237" s="310"/>
      <c r="L237" s="188" t="str">
        <f t="shared" si="57"/>
        <v>-</v>
      </c>
      <c r="M237" s="196" t="str">
        <f t="shared" si="51"/>
        <v>-</v>
      </c>
      <c r="N237" s="197" t="str">
        <f t="shared" si="52"/>
        <v>-</v>
      </c>
      <c r="O237" s="188" t="str">
        <f t="shared" si="53"/>
        <v>-</v>
      </c>
      <c r="P237" s="150" t="str">
        <f t="shared" si="54"/>
        <v>-</v>
      </c>
      <c r="Q237" s="198" t="str">
        <f t="shared" si="55"/>
        <v>-</v>
      </c>
      <c r="R237" s="202" t="str">
        <f t="shared" si="56"/>
        <v>-</v>
      </c>
      <c r="S237" s="198" t="str">
        <f>IF(Q237="-","-",VLOOKUP(B237,'UEstandar-Uexp'!$A$125:$Z$324,11))</f>
        <v>-</v>
      </c>
      <c r="T237" s="190" t="s">
        <v>32</v>
      </c>
      <c r="U237" s="430" t="s">
        <v>32</v>
      </c>
      <c r="V237" s="430"/>
    </row>
    <row r="238" spans="2:22" ht="17.75" customHeight="1">
      <c r="B238" s="166">
        <f>IF(F238="M",COUNTIF($F$36:F238,"M"),"-")</f>
        <v>178</v>
      </c>
      <c r="C238" s="350"/>
      <c r="D238" s="350"/>
      <c r="E238" s="312"/>
      <c r="F238" s="183" t="s">
        <v>10</v>
      </c>
      <c r="G238" s="308"/>
      <c r="H238" s="307"/>
      <c r="I238" s="307"/>
      <c r="J238" s="308"/>
      <c r="K238" s="311"/>
      <c r="L238" s="188" t="str">
        <f t="shared" si="57"/>
        <v>-</v>
      </c>
      <c r="M238" s="196" t="str">
        <f t="shared" si="51"/>
        <v>-</v>
      </c>
      <c r="N238" s="197" t="str">
        <f t="shared" si="52"/>
        <v>-</v>
      </c>
      <c r="O238" s="188" t="str">
        <f t="shared" si="53"/>
        <v>-</v>
      </c>
      <c r="P238" s="150" t="str">
        <f t="shared" si="54"/>
        <v>-</v>
      </c>
      <c r="Q238" s="198" t="str">
        <f t="shared" si="55"/>
        <v>-</v>
      </c>
      <c r="R238" s="202" t="str">
        <f t="shared" si="56"/>
        <v>-</v>
      </c>
      <c r="S238" s="198" t="str">
        <f>IF(Q238="-","-",VLOOKUP(B238,'UEstandar-Uexp'!$A$125:$Z$324,11))</f>
        <v>-</v>
      </c>
      <c r="T238" s="190" t="s">
        <v>32</v>
      </c>
      <c r="U238" s="430" t="s">
        <v>32</v>
      </c>
      <c r="V238" s="430"/>
    </row>
    <row r="239" spans="2:22" ht="17.75" customHeight="1">
      <c r="B239" s="166">
        <f>IF(F239="M",COUNTIF($F$36:F239,"M"),"-")</f>
        <v>179</v>
      </c>
      <c r="C239" s="350"/>
      <c r="D239" s="350"/>
      <c r="E239" s="312"/>
      <c r="F239" s="183" t="s">
        <v>10</v>
      </c>
      <c r="G239" s="308"/>
      <c r="H239" s="307"/>
      <c r="I239" s="307"/>
      <c r="J239" s="308"/>
      <c r="K239" s="311"/>
      <c r="L239" s="188" t="str">
        <f t="shared" si="57"/>
        <v>-</v>
      </c>
      <c r="M239" s="196" t="str">
        <f t="shared" si="51"/>
        <v>-</v>
      </c>
      <c r="N239" s="197" t="str">
        <f t="shared" si="52"/>
        <v>-</v>
      </c>
      <c r="O239" s="188" t="str">
        <f t="shared" si="53"/>
        <v>-</v>
      </c>
      <c r="P239" s="150" t="str">
        <f t="shared" si="54"/>
        <v>-</v>
      </c>
      <c r="Q239" s="198" t="str">
        <f t="shared" si="55"/>
        <v>-</v>
      </c>
      <c r="R239" s="202" t="str">
        <f t="shared" si="56"/>
        <v>-</v>
      </c>
      <c r="S239" s="198" t="str">
        <f>IF(Q239="-","-",VLOOKUP(B239,'UEstandar-Uexp'!$A$125:$Z$324,11))</f>
        <v>-</v>
      </c>
      <c r="T239" s="190" t="s">
        <v>32</v>
      </c>
      <c r="U239" s="430" t="s">
        <v>32</v>
      </c>
      <c r="V239" s="430"/>
    </row>
    <row r="240" spans="2:22" ht="17.75" customHeight="1">
      <c r="B240" s="166">
        <f>IF(F240="M",COUNTIF($F$36:F240,"M"),"-")</f>
        <v>180</v>
      </c>
      <c r="C240" s="350"/>
      <c r="D240" s="350"/>
      <c r="E240" s="312"/>
      <c r="F240" s="183" t="s">
        <v>10</v>
      </c>
      <c r="G240" s="308"/>
      <c r="H240" s="307"/>
      <c r="I240" s="307"/>
      <c r="J240" s="308"/>
      <c r="K240" s="311"/>
      <c r="L240" s="188" t="str">
        <f t="shared" si="57"/>
        <v>-</v>
      </c>
      <c r="M240" s="196" t="str">
        <f t="shared" si="51"/>
        <v>-</v>
      </c>
      <c r="N240" s="197" t="str">
        <f t="shared" si="52"/>
        <v>-</v>
      </c>
      <c r="O240" s="188" t="str">
        <f t="shared" si="53"/>
        <v>-</v>
      </c>
      <c r="P240" s="150" t="str">
        <f t="shared" si="54"/>
        <v>-</v>
      </c>
      <c r="Q240" s="198" t="str">
        <f t="shared" si="55"/>
        <v>-</v>
      </c>
      <c r="R240" s="202" t="str">
        <f t="shared" si="56"/>
        <v>-</v>
      </c>
      <c r="S240" s="198" t="str">
        <f>IF(Q240="-","-",VLOOKUP(B240,'UEstandar-Uexp'!$A$125:$Z$324,11))</f>
        <v>-</v>
      </c>
      <c r="T240" s="190" t="s">
        <v>32</v>
      </c>
      <c r="U240" s="430" t="s">
        <v>32</v>
      </c>
      <c r="V240" s="430"/>
    </row>
    <row r="241" spans="2:22" ht="17.75" customHeight="1">
      <c r="B241" s="191" t="s">
        <v>32</v>
      </c>
      <c r="C241" s="184">
        <f>Datos!$J$14</f>
        <v>2.5</v>
      </c>
      <c r="D241" s="184" t="s">
        <v>126</v>
      </c>
      <c r="E241" s="185"/>
      <c r="F241" s="192" t="s">
        <v>118</v>
      </c>
      <c r="G241" s="187" t="s">
        <v>32</v>
      </c>
      <c r="H241" s="193" t="s">
        <v>32</v>
      </c>
      <c r="I241" s="193" t="s">
        <v>32</v>
      </c>
      <c r="J241" s="194" t="s">
        <v>32</v>
      </c>
      <c r="K241" s="309"/>
      <c r="L241" s="188" t="str">
        <f t="shared" si="57"/>
        <v>-</v>
      </c>
      <c r="M241" s="190" t="s">
        <v>32</v>
      </c>
      <c r="N241" s="190" t="s">
        <v>32</v>
      </c>
      <c r="O241" s="190" t="s">
        <v>32</v>
      </c>
      <c r="P241" s="150" t="s">
        <v>32</v>
      </c>
      <c r="Q241" s="190" t="s">
        <v>32</v>
      </c>
      <c r="R241" s="189" t="s">
        <v>32</v>
      </c>
      <c r="S241" s="190" t="s">
        <v>32</v>
      </c>
      <c r="T241" s="195" t="str">
        <f>IF(K241="","-",ROUND(100*(L241-C241)/C241,1))</f>
        <v>-</v>
      </c>
      <c r="U241" s="431" t="str">
        <f>IF(K241="","-",IF(AND(T241&lt;=$T$15,T241&gt;=-$T$15),"Cumple","No cumple"))</f>
        <v>-</v>
      </c>
      <c r="V241" s="431"/>
    </row>
    <row r="242" spans="2:22" ht="17.75" customHeight="1">
      <c r="B242" s="191" t="s">
        <v>32</v>
      </c>
      <c r="C242" s="350"/>
      <c r="D242" s="350"/>
      <c r="E242" s="200"/>
      <c r="F242" s="192" t="s">
        <v>117</v>
      </c>
      <c r="G242" s="306"/>
      <c r="H242" s="307"/>
      <c r="I242" s="307"/>
      <c r="J242" s="308"/>
      <c r="K242" s="309"/>
      <c r="L242" s="188" t="str">
        <f t="shared" si="57"/>
        <v>-</v>
      </c>
      <c r="M242" s="196" t="str">
        <f t="shared" ref="M242:M263" si="58">IF(G242="","-",G242+(AA$10*G242))</f>
        <v>-</v>
      </c>
      <c r="N242" s="197" t="str">
        <f t="shared" ref="N242:N263" si="59">IF(H242="","-",IF(H242&lt;=X$19,H242*Z$18+AA$18,H242*Z$19+AA$19))</f>
        <v>-</v>
      </c>
      <c r="O242" s="188" t="str">
        <f t="shared" ref="O242:O263" si="60">IF(I242="","-",$Z$26)</f>
        <v>-</v>
      </c>
      <c r="P242" s="150" t="str">
        <f t="shared" ref="P242:P263" si="61">IF(J242="","-",IF(J242&lt;=AC$19,J242*AE$18+AF$18,J242*AE$19+AF$19))</f>
        <v>-</v>
      </c>
      <c r="Q242" s="198" t="str">
        <f>IF(K242="","-",(L242*(N242/M242)*(O242/P242)))</f>
        <v>-</v>
      </c>
      <c r="R242" s="189" t="s">
        <v>32</v>
      </c>
      <c r="S242" s="190" t="s">
        <v>32</v>
      </c>
      <c r="T242" s="199" t="s">
        <v>32</v>
      </c>
      <c r="U242" s="431" t="str">
        <f>IF(K242="","-",IF(AND(Q242&gt;=$V$17,VALUE(Q242)&lt;=$T$17),"Cumple","No Cumple"))</f>
        <v>-</v>
      </c>
      <c r="V242" s="431"/>
    </row>
    <row r="243" spans="2:22" ht="17.75" customHeight="1">
      <c r="B243" s="191" t="s">
        <v>196</v>
      </c>
      <c r="C243" s="350"/>
      <c r="D243" s="350"/>
      <c r="E243" s="200"/>
      <c r="F243" s="195" t="s">
        <v>11</v>
      </c>
      <c r="G243" s="308"/>
      <c r="H243" s="307"/>
      <c r="I243" s="307"/>
      <c r="J243" s="308"/>
      <c r="K243" s="310"/>
      <c r="L243" s="188" t="str">
        <f t="shared" si="57"/>
        <v>-</v>
      </c>
      <c r="M243" s="196" t="str">
        <f t="shared" si="58"/>
        <v>-</v>
      </c>
      <c r="N243" s="197" t="str">
        <f t="shared" si="59"/>
        <v>-</v>
      </c>
      <c r="O243" s="188" t="str">
        <f t="shared" si="60"/>
        <v>-</v>
      </c>
      <c r="P243" s="150" t="str">
        <f t="shared" si="61"/>
        <v>-</v>
      </c>
      <c r="Q243" s="198" t="str">
        <f t="shared" ref="Q243:Q263" si="62">IF(K243="","-",ROUND((L243*(N243/M243)*(O243/P243)),2))</f>
        <v>-</v>
      </c>
      <c r="R243" s="189" t="s">
        <v>32</v>
      </c>
      <c r="S243" s="190" t="s">
        <v>32</v>
      </c>
      <c r="T243" s="201" t="str">
        <f>IF(C243="","-",ROUND(2*(Q243-Q244)*100/(Q243+Q244),1))</f>
        <v>-</v>
      </c>
      <c r="U243" s="431" t="str">
        <f>IF(K243="","-",IF(AND(T243&lt;=$T$16,T243&gt;=-$T$16),"Cumple","No cumple"))</f>
        <v>-</v>
      </c>
      <c r="V243" s="431"/>
    </row>
    <row r="244" spans="2:22" ht="17.75" customHeight="1">
      <c r="B244" s="166">
        <f>IF(F244="M",COUNTIF($F$36:F244,"M"),"-")</f>
        <v>181</v>
      </c>
      <c r="C244" s="350"/>
      <c r="D244" s="350"/>
      <c r="E244" s="312"/>
      <c r="F244" s="183" t="s">
        <v>10</v>
      </c>
      <c r="G244" s="304"/>
      <c r="H244" s="307"/>
      <c r="I244" s="307"/>
      <c r="J244" s="308"/>
      <c r="K244" s="310"/>
      <c r="L244" s="188" t="str">
        <f t="shared" si="57"/>
        <v>-</v>
      </c>
      <c r="M244" s="196" t="str">
        <f t="shared" si="58"/>
        <v>-</v>
      </c>
      <c r="N244" s="197" t="str">
        <f t="shared" si="59"/>
        <v>-</v>
      </c>
      <c r="O244" s="188" t="str">
        <f t="shared" si="60"/>
        <v>-</v>
      </c>
      <c r="P244" s="150" t="str">
        <f t="shared" si="61"/>
        <v>-</v>
      </c>
      <c r="Q244" s="198" t="str">
        <f t="shared" si="62"/>
        <v>-</v>
      </c>
      <c r="R244" s="202" t="str">
        <f>IF(Q244="","-",IF(Q244&lt;$Q$19,"&lt; LC","-"))</f>
        <v>-</v>
      </c>
      <c r="S244" s="198" t="str">
        <f>IF(Q244="-","-",VLOOKUP(B244,'UEstandar-Uexp'!$A$125:$Z$324,11))</f>
        <v>-</v>
      </c>
      <c r="T244" s="190" t="s">
        <v>32</v>
      </c>
      <c r="U244" s="430" t="s">
        <v>32</v>
      </c>
      <c r="V244" s="430"/>
    </row>
    <row r="245" spans="2:22" ht="17.75" customHeight="1">
      <c r="B245" s="166">
        <f>IF(F245="M",COUNTIF($F$36:F245,"M"),"-")</f>
        <v>182</v>
      </c>
      <c r="C245" s="350"/>
      <c r="D245" s="350"/>
      <c r="E245" s="312"/>
      <c r="F245" s="183" t="s">
        <v>10</v>
      </c>
      <c r="G245" s="308"/>
      <c r="H245" s="307"/>
      <c r="I245" s="307"/>
      <c r="J245" s="308"/>
      <c r="K245" s="311"/>
      <c r="L245" s="188" t="str">
        <f t="shared" si="57"/>
        <v>-</v>
      </c>
      <c r="M245" s="196" t="str">
        <f t="shared" si="58"/>
        <v>-</v>
      </c>
      <c r="N245" s="197" t="str">
        <f t="shared" si="59"/>
        <v>-</v>
      </c>
      <c r="O245" s="188" t="str">
        <f t="shared" si="60"/>
        <v>-</v>
      </c>
      <c r="P245" s="150" t="str">
        <f t="shared" si="61"/>
        <v>-</v>
      </c>
      <c r="Q245" s="198" t="str">
        <f t="shared" si="62"/>
        <v>-</v>
      </c>
      <c r="R245" s="202" t="str">
        <f t="shared" ref="R245:R263" si="63">IF(Q245="","-",IF(Q245&lt;$Q$19,"&lt; LC","-"))</f>
        <v>-</v>
      </c>
      <c r="S245" s="198" t="str">
        <f>IF(Q245="-","-",VLOOKUP(B245,'UEstandar-Uexp'!$A$125:$Z$324,11))</f>
        <v>-</v>
      </c>
      <c r="T245" s="190" t="s">
        <v>32</v>
      </c>
      <c r="U245" s="430" t="s">
        <v>32</v>
      </c>
      <c r="V245" s="430"/>
    </row>
    <row r="246" spans="2:22" ht="17.75" customHeight="1">
      <c r="B246" s="166">
        <f>IF(F246="M",COUNTIF($F$36:F246,"M"),"-")</f>
        <v>183</v>
      </c>
      <c r="C246" s="350"/>
      <c r="D246" s="350"/>
      <c r="E246" s="312"/>
      <c r="F246" s="183" t="s">
        <v>10</v>
      </c>
      <c r="G246" s="308"/>
      <c r="H246" s="307"/>
      <c r="I246" s="307"/>
      <c r="J246" s="308"/>
      <c r="K246" s="311"/>
      <c r="L246" s="188" t="str">
        <f t="shared" si="57"/>
        <v>-</v>
      </c>
      <c r="M246" s="196" t="str">
        <f t="shared" si="58"/>
        <v>-</v>
      </c>
      <c r="N246" s="197" t="str">
        <f t="shared" si="59"/>
        <v>-</v>
      </c>
      <c r="O246" s="188" t="str">
        <f t="shared" si="60"/>
        <v>-</v>
      </c>
      <c r="P246" s="150" t="str">
        <f t="shared" si="61"/>
        <v>-</v>
      </c>
      <c r="Q246" s="198" t="str">
        <f t="shared" si="62"/>
        <v>-</v>
      </c>
      <c r="R246" s="202" t="str">
        <f t="shared" si="63"/>
        <v>-</v>
      </c>
      <c r="S246" s="198" t="str">
        <f>IF(Q246="-","-",VLOOKUP(B246,'UEstandar-Uexp'!$A$125:$Z$324,11))</f>
        <v>-</v>
      </c>
      <c r="T246" s="190" t="s">
        <v>32</v>
      </c>
      <c r="U246" s="430" t="s">
        <v>32</v>
      </c>
      <c r="V246" s="430"/>
    </row>
    <row r="247" spans="2:22" ht="17.75" customHeight="1">
      <c r="B247" s="166">
        <f>IF(F247="M",COUNTIF($F$36:F247,"M"),"-")</f>
        <v>184</v>
      </c>
      <c r="C247" s="350"/>
      <c r="D247" s="350"/>
      <c r="E247" s="312"/>
      <c r="F247" s="183" t="s">
        <v>10</v>
      </c>
      <c r="G247" s="308"/>
      <c r="H247" s="307"/>
      <c r="I247" s="307"/>
      <c r="J247" s="308"/>
      <c r="K247" s="311"/>
      <c r="L247" s="188" t="str">
        <f t="shared" si="57"/>
        <v>-</v>
      </c>
      <c r="M247" s="196" t="str">
        <f t="shared" si="58"/>
        <v>-</v>
      </c>
      <c r="N247" s="197" t="str">
        <f t="shared" si="59"/>
        <v>-</v>
      </c>
      <c r="O247" s="188" t="str">
        <f t="shared" si="60"/>
        <v>-</v>
      </c>
      <c r="P247" s="150" t="str">
        <f t="shared" si="61"/>
        <v>-</v>
      </c>
      <c r="Q247" s="198" t="str">
        <f t="shared" si="62"/>
        <v>-</v>
      </c>
      <c r="R247" s="202" t="str">
        <f t="shared" si="63"/>
        <v>-</v>
      </c>
      <c r="S247" s="198" t="str">
        <f>IF(Q247="-","-",VLOOKUP(B247,'UEstandar-Uexp'!$A$125:$Z$324,11))</f>
        <v>-</v>
      </c>
      <c r="T247" s="190" t="s">
        <v>32</v>
      </c>
      <c r="U247" s="430" t="s">
        <v>32</v>
      </c>
      <c r="V247" s="430"/>
    </row>
    <row r="248" spans="2:22" ht="17.75" customHeight="1">
      <c r="B248" s="166">
        <f>IF(F248="M",COUNTIF($F$36:F248,"M"),"-")</f>
        <v>185</v>
      </c>
      <c r="C248" s="350"/>
      <c r="D248" s="350"/>
      <c r="E248" s="312"/>
      <c r="F248" s="183" t="s">
        <v>10</v>
      </c>
      <c r="G248" s="308"/>
      <c r="H248" s="307"/>
      <c r="I248" s="307"/>
      <c r="J248" s="308"/>
      <c r="K248" s="311"/>
      <c r="L248" s="188" t="str">
        <f t="shared" si="57"/>
        <v>-</v>
      </c>
      <c r="M248" s="196" t="str">
        <f t="shared" si="58"/>
        <v>-</v>
      </c>
      <c r="N248" s="197" t="str">
        <f t="shared" si="59"/>
        <v>-</v>
      </c>
      <c r="O248" s="188" t="str">
        <f t="shared" si="60"/>
        <v>-</v>
      </c>
      <c r="P248" s="150" t="str">
        <f t="shared" si="61"/>
        <v>-</v>
      </c>
      <c r="Q248" s="198" t="str">
        <f t="shared" si="62"/>
        <v>-</v>
      </c>
      <c r="R248" s="202" t="str">
        <f t="shared" si="63"/>
        <v>-</v>
      </c>
      <c r="S248" s="198" t="str">
        <f>IF(Q248="-","-",VLOOKUP(B248,'UEstandar-Uexp'!$A$125:$Z$324,11))</f>
        <v>-</v>
      </c>
      <c r="T248" s="190" t="s">
        <v>32</v>
      </c>
      <c r="U248" s="430" t="s">
        <v>32</v>
      </c>
      <c r="V248" s="430"/>
    </row>
    <row r="249" spans="2:22" ht="17.75" customHeight="1">
      <c r="B249" s="166">
        <f>IF(F249="M",COUNTIF($F$36:F249,"M"),"-")</f>
        <v>186</v>
      </c>
      <c r="C249" s="350"/>
      <c r="D249" s="350"/>
      <c r="E249" s="312"/>
      <c r="F249" s="183" t="s">
        <v>10</v>
      </c>
      <c r="G249" s="308"/>
      <c r="H249" s="307"/>
      <c r="I249" s="307"/>
      <c r="J249" s="308"/>
      <c r="K249" s="311"/>
      <c r="L249" s="188" t="str">
        <f t="shared" si="57"/>
        <v>-</v>
      </c>
      <c r="M249" s="196" t="str">
        <f t="shared" si="58"/>
        <v>-</v>
      </c>
      <c r="N249" s="197" t="str">
        <f t="shared" si="59"/>
        <v>-</v>
      </c>
      <c r="O249" s="188" t="str">
        <f t="shared" si="60"/>
        <v>-</v>
      </c>
      <c r="P249" s="150" t="str">
        <f t="shared" si="61"/>
        <v>-</v>
      </c>
      <c r="Q249" s="198" t="str">
        <f t="shared" si="62"/>
        <v>-</v>
      </c>
      <c r="R249" s="202" t="str">
        <f t="shared" si="63"/>
        <v>-</v>
      </c>
      <c r="S249" s="198" t="str">
        <f>IF(Q249="-","-",VLOOKUP(B249,'UEstandar-Uexp'!$A$125:$Z$324,11))</f>
        <v>-</v>
      </c>
      <c r="T249" s="190" t="s">
        <v>32</v>
      </c>
      <c r="U249" s="430" t="s">
        <v>32</v>
      </c>
      <c r="V249" s="430"/>
    </row>
    <row r="250" spans="2:22" ht="17.75" customHeight="1">
      <c r="B250" s="166">
        <f>IF(F250="M",COUNTIF($F$36:F250,"M"),"-")</f>
        <v>187</v>
      </c>
      <c r="C250" s="350"/>
      <c r="D250" s="350"/>
      <c r="E250" s="312"/>
      <c r="F250" s="183" t="s">
        <v>10</v>
      </c>
      <c r="G250" s="306"/>
      <c r="H250" s="307"/>
      <c r="I250" s="307"/>
      <c r="J250" s="308"/>
      <c r="K250" s="311"/>
      <c r="L250" s="188" t="str">
        <f t="shared" si="57"/>
        <v>-</v>
      </c>
      <c r="M250" s="196" t="str">
        <f t="shared" si="58"/>
        <v>-</v>
      </c>
      <c r="N250" s="197" t="str">
        <f t="shared" si="59"/>
        <v>-</v>
      </c>
      <c r="O250" s="188" t="str">
        <f t="shared" si="60"/>
        <v>-</v>
      </c>
      <c r="P250" s="150" t="str">
        <f t="shared" si="61"/>
        <v>-</v>
      </c>
      <c r="Q250" s="198" t="str">
        <f t="shared" si="62"/>
        <v>-</v>
      </c>
      <c r="R250" s="202" t="str">
        <f t="shared" si="63"/>
        <v>-</v>
      </c>
      <c r="S250" s="198" t="str">
        <f>IF(Q250="-","-",VLOOKUP(B250,'UEstandar-Uexp'!$A$125:$Z$324,11))</f>
        <v>-</v>
      </c>
      <c r="T250" s="190" t="s">
        <v>32</v>
      </c>
      <c r="U250" s="430" t="s">
        <v>32</v>
      </c>
      <c r="V250" s="430"/>
    </row>
    <row r="251" spans="2:22" ht="17.75" customHeight="1">
      <c r="B251" s="166">
        <f>IF(F251="M",COUNTIF($F$36:F251,"M"),"-")</f>
        <v>188</v>
      </c>
      <c r="C251" s="350"/>
      <c r="D251" s="350"/>
      <c r="E251" s="312"/>
      <c r="F251" s="183" t="s">
        <v>10</v>
      </c>
      <c r="G251" s="308"/>
      <c r="H251" s="307"/>
      <c r="I251" s="307"/>
      <c r="J251" s="308"/>
      <c r="K251" s="311"/>
      <c r="L251" s="188" t="str">
        <f t="shared" si="57"/>
        <v>-</v>
      </c>
      <c r="M251" s="196" t="str">
        <f t="shared" si="58"/>
        <v>-</v>
      </c>
      <c r="N251" s="197" t="str">
        <f t="shared" si="59"/>
        <v>-</v>
      </c>
      <c r="O251" s="188" t="str">
        <f t="shared" si="60"/>
        <v>-</v>
      </c>
      <c r="P251" s="150" t="str">
        <f t="shared" si="61"/>
        <v>-</v>
      </c>
      <c r="Q251" s="198" t="str">
        <f t="shared" si="62"/>
        <v>-</v>
      </c>
      <c r="R251" s="202" t="str">
        <f t="shared" si="63"/>
        <v>-</v>
      </c>
      <c r="S251" s="198" t="str">
        <f>IF(Q251="-","-",VLOOKUP(B251,'UEstandar-Uexp'!$A$125:$Z$324,11))</f>
        <v>-</v>
      </c>
      <c r="T251" s="190" t="s">
        <v>32</v>
      </c>
      <c r="U251" s="430" t="s">
        <v>32</v>
      </c>
      <c r="V251" s="430"/>
    </row>
    <row r="252" spans="2:22" ht="17.75" customHeight="1">
      <c r="B252" s="166">
        <f>IF(F252="M",COUNTIF($F$36:F252,"M"),"-")</f>
        <v>189</v>
      </c>
      <c r="C252" s="350"/>
      <c r="D252" s="350"/>
      <c r="E252" s="312"/>
      <c r="F252" s="183" t="s">
        <v>10</v>
      </c>
      <c r="G252" s="304"/>
      <c r="H252" s="307"/>
      <c r="I252" s="307"/>
      <c r="J252" s="308"/>
      <c r="K252" s="311"/>
      <c r="L252" s="188" t="str">
        <f t="shared" si="57"/>
        <v>-</v>
      </c>
      <c r="M252" s="196" t="str">
        <f t="shared" si="58"/>
        <v>-</v>
      </c>
      <c r="N252" s="197" t="str">
        <f t="shared" si="59"/>
        <v>-</v>
      </c>
      <c r="O252" s="188" t="str">
        <f t="shared" si="60"/>
        <v>-</v>
      </c>
      <c r="P252" s="150" t="str">
        <f t="shared" si="61"/>
        <v>-</v>
      </c>
      <c r="Q252" s="198" t="str">
        <f t="shared" si="62"/>
        <v>-</v>
      </c>
      <c r="R252" s="202" t="str">
        <f t="shared" si="63"/>
        <v>-</v>
      </c>
      <c r="S252" s="198" t="str">
        <f>IF(Q252="-","-",VLOOKUP(B252,'UEstandar-Uexp'!$A$125:$Z$324,11))</f>
        <v>-</v>
      </c>
      <c r="T252" s="190" t="s">
        <v>32</v>
      </c>
      <c r="U252" s="430" t="s">
        <v>32</v>
      </c>
      <c r="V252" s="430"/>
    </row>
    <row r="253" spans="2:22" ht="17.75" customHeight="1">
      <c r="B253" s="166">
        <f>IF(F253="M",COUNTIF($F$36:F253,"M"),"-")</f>
        <v>190</v>
      </c>
      <c r="C253" s="350"/>
      <c r="D253" s="350"/>
      <c r="E253" s="312"/>
      <c r="F253" s="183" t="s">
        <v>10</v>
      </c>
      <c r="G253" s="308"/>
      <c r="H253" s="307"/>
      <c r="I253" s="307"/>
      <c r="J253" s="308"/>
      <c r="K253" s="309"/>
      <c r="L253" s="188" t="str">
        <f t="shared" si="57"/>
        <v>-</v>
      </c>
      <c r="M253" s="196" t="str">
        <f t="shared" si="58"/>
        <v>-</v>
      </c>
      <c r="N253" s="197" t="str">
        <f t="shared" si="59"/>
        <v>-</v>
      </c>
      <c r="O253" s="188" t="str">
        <f t="shared" si="60"/>
        <v>-</v>
      </c>
      <c r="P253" s="150" t="str">
        <f t="shared" si="61"/>
        <v>-</v>
      </c>
      <c r="Q253" s="198" t="str">
        <f t="shared" si="62"/>
        <v>-</v>
      </c>
      <c r="R253" s="202" t="str">
        <f t="shared" si="63"/>
        <v>-</v>
      </c>
      <c r="S253" s="198" t="str">
        <f>IF(Q253="-","-",VLOOKUP(B253,'UEstandar-Uexp'!$A$125:$Z$324,11))</f>
        <v>-</v>
      </c>
      <c r="T253" s="190" t="s">
        <v>32</v>
      </c>
      <c r="U253" s="430" t="s">
        <v>32</v>
      </c>
      <c r="V253" s="430"/>
    </row>
    <row r="254" spans="2:22" ht="17.75" customHeight="1">
      <c r="B254" s="166">
        <f>IF(F254="M",COUNTIF($F$36:F254,"M"),"-")</f>
        <v>191</v>
      </c>
      <c r="C254" s="350"/>
      <c r="D254" s="350"/>
      <c r="E254" s="312"/>
      <c r="F254" s="183" t="s">
        <v>10</v>
      </c>
      <c r="G254" s="308"/>
      <c r="H254" s="307"/>
      <c r="I254" s="307"/>
      <c r="J254" s="308"/>
      <c r="K254" s="309"/>
      <c r="L254" s="188" t="str">
        <f t="shared" si="57"/>
        <v>-</v>
      </c>
      <c r="M254" s="196" t="str">
        <f t="shared" si="58"/>
        <v>-</v>
      </c>
      <c r="N254" s="197" t="str">
        <f t="shared" si="59"/>
        <v>-</v>
      </c>
      <c r="O254" s="188" t="str">
        <f t="shared" si="60"/>
        <v>-</v>
      </c>
      <c r="P254" s="150" t="str">
        <f t="shared" si="61"/>
        <v>-</v>
      </c>
      <c r="Q254" s="198" t="str">
        <f t="shared" si="62"/>
        <v>-</v>
      </c>
      <c r="R254" s="202" t="str">
        <f t="shared" si="63"/>
        <v>-</v>
      </c>
      <c r="S254" s="198" t="str">
        <f>IF(Q254="-","-",VLOOKUP(B254,'UEstandar-Uexp'!$A$125:$Z$324,11))</f>
        <v>-</v>
      </c>
      <c r="T254" s="190" t="s">
        <v>32</v>
      </c>
      <c r="U254" s="430" t="s">
        <v>32</v>
      </c>
      <c r="V254" s="430"/>
    </row>
    <row r="255" spans="2:22" ht="17.75" customHeight="1">
      <c r="B255" s="166">
        <f>IF(F255="M",COUNTIF($F$36:F255,"M"),"-")</f>
        <v>192</v>
      </c>
      <c r="C255" s="350"/>
      <c r="D255" s="350"/>
      <c r="E255" s="312"/>
      <c r="F255" s="183" t="s">
        <v>10</v>
      </c>
      <c r="G255" s="308"/>
      <c r="H255" s="307"/>
      <c r="I255" s="307"/>
      <c r="J255" s="308"/>
      <c r="K255" s="309"/>
      <c r="L255" s="188" t="str">
        <f t="shared" si="57"/>
        <v>-</v>
      </c>
      <c r="M255" s="196" t="str">
        <f t="shared" si="58"/>
        <v>-</v>
      </c>
      <c r="N255" s="197" t="str">
        <f t="shared" si="59"/>
        <v>-</v>
      </c>
      <c r="O255" s="188" t="str">
        <f t="shared" si="60"/>
        <v>-</v>
      </c>
      <c r="P255" s="150" t="str">
        <f t="shared" si="61"/>
        <v>-</v>
      </c>
      <c r="Q255" s="198" t="str">
        <f t="shared" si="62"/>
        <v>-</v>
      </c>
      <c r="R255" s="202" t="str">
        <f t="shared" si="63"/>
        <v>-</v>
      </c>
      <c r="S255" s="198" t="str">
        <f>IF(Q255="-","-",VLOOKUP(B255,'UEstandar-Uexp'!$A$125:$Z$324,11))</f>
        <v>-</v>
      </c>
      <c r="T255" s="190" t="s">
        <v>32</v>
      </c>
      <c r="U255" s="430" t="s">
        <v>32</v>
      </c>
      <c r="V255" s="430"/>
    </row>
    <row r="256" spans="2:22" ht="17.75" customHeight="1">
      <c r="B256" s="166">
        <f>IF(F256="M",COUNTIF($F$36:F256,"M"),"-")</f>
        <v>193</v>
      </c>
      <c r="C256" s="350"/>
      <c r="D256" s="350"/>
      <c r="E256" s="312"/>
      <c r="F256" s="183" t="s">
        <v>10</v>
      </c>
      <c r="G256" s="306"/>
      <c r="H256" s="307"/>
      <c r="I256" s="307"/>
      <c r="J256" s="308"/>
      <c r="K256" s="309"/>
      <c r="L256" s="188" t="str">
        <f t="shared" si="57"/>
        <v>-</v>
      </c>
      <c r="M256" s="196" t="str">
        <f t="shared" si="58"/>
        <v>-</v>
      </c>
      <c r="N256" s="197" t="str">
        <f t="shared" si="59"/>
        <v>-</v>
      </c>
      <c r="O256" s="188" t="str">
        <f t="shared" si="60"/>
        <v>-</v>
      </c>
      <c r="P256" s="150" t="str">
        <f t="shared" si="61"/>
        <v>-</v>
      </c>
      <c r="Q256" s="198" t="str">
        <f t="shared" si="62"/>
        <v>-</v>
      </c>
      <c r="R256" s="202" t="str">
        <f t="shared" si="63"/>
        <v>-</v>
      </c>
      <c r="S256" s="198" t="str">
        <f>IF(Q256="-","-",VLOOKUP(B256,'UEstandar-Uexp'!$A$125:$Z$324,11))</f>
        <v>-</v>
      </c>
      <c r="T256" s="190" t="s">
        <v>32</v>
      </c>
      <c r="U256" s="430" t="s">
        <v>32</v>
      </c>
      <c r="V256" s="430"/>
    </row>
    <row r="257" spans="2:22" ht="17.75" customHeight="1">
      <c r="B257" s="166">
        <f>IF(F257="M",COUNTIF($F$36:F257,"M"),"-")</f>
        <v>194</v>
      </c>
      <c r="C257" s="350"/>
      <c r="D257" s="350"/>
      <c r="E257" s="312"/>
      <c r="F257" s="183" t="s">
        <v>10</v>
      </c>
      <c r="G257" s="308"/>
      <c r="H257" s="307"/>
      <c r="I257" s="307"/>
      <c r="J257" s="308"/>
      <c r="K257" s="309"/>
      <c r="L257" s="188" t="str">
        <f t="shared" si="57"/>
        <v>-</v>
      </c>
      <c r="M257" s="196" t="str">
        <f t="shared" si="58"/>
        <v>-</v>
      </c>
      <c r="N257" s="197" t="str">
        <f t="shared" si="59"/>
        <v>-</v>
      </c>
      <c r="O257" s="188" t="str">
        <f t="shared" si="60"/>
        <v>-</v>
      </c>
      <c r="P257" s="150" t="str">
        <f t="shared" si="61"/>
        <v>-</v>
      </c>
      <c r="Q257" s="198" t="str">
        <f t="shared" si="62"/>
        <v>-</v>
      </c>
      <c r="R257" s="202" t="str">
        <f t="shared" si="63"/>
        <v>-</v>
      </c>
      <c r="S257" s="198" t="str">
        <f>IF(Q257="-","-",VLOOKUP(B257,'UEstandar-Uexp'!$A$125:$Z$324,11))</f>
        <v>-</v>
      </c>
      <c r="T257" s="190" t="s">
        <v>32</v>
      </c>
      <c r="U257" s="430" t="s">
        <v>32</v>
      </c>
      <c r="V257" s="430"/>
    </row>
    <row r="258" spans="2:22" ht="17.75" customHeight="1">
      <c r="B258" s="166">
        <f>IF(F258="M",COUNTIF($F$36:F258,"M"),"-")</f>
        <v>195</v>
      </c>
      <c r="C258" s="350"/>
      <c r="D258" s="350"/>
      <c r="E258" s="312"/>
      <c r="F258" s="183" t="s">
        <v>10</v>
      </c>
      <c r="G258" s="304"/>
      <c r="H258" s="307"/>
      <c r="I258" s="307"/>
      <c r="J258" s="308"/>
      <c r="K258" s="309"/>
      <c r="L258" s="188" t="str">
        <f t="shared" si="57"/>
        <v>-</v>
      </c>
      <c r="M258" s="196" t="str">
        <f t="shared" si="58"/>
        <v>-</v>
      </c>
      <c r="N258" s="197" t="str">
        <f t="shared" si="59"/>
        <v>-</v>
      </c>
      <c r="O258" s="188" t="str">
        <f t="shared" si="60"/>
        <v>-</v>
      </c>
      <c r="P258" s="150" t="str">
        <f t="shared" si="61"/>
        <v>-</v>
      </c>
      <c r="Q258" s="198" t="str">
        <f t="shared" si="62"/>
        <v>-</v>
      </c>
      <c r="R258" s="202" t="str">
        <f t="shared" si="63"/>
        <v>-</v>
      </c>
      <c r="S258" s="198" t="str">
        <f>IF(Q258="-","-",VLOOKUP(B258,'UEstandar-Uexp'!$A$125:$Z$324,11))</f>
        <v>-</v>
      </c>
      <c r="T258" s="190" t="s">
        <v>32</v>
      </c>
      <c r="U258" s="430" t="s">
        <v>32</v>
      </c>
      <c r="V258" s="430"/>
    </row>
    <row r="259" spans="2:22" ht="17.75" customHeight="1">
      <c r="B259" s="166">
        <f>IF(F259="M",COUNTIF($F$36:F259,"M"),"-")</f>
        <v>196</v>
      </c>
      <c r="C259" s="350"/>
      <c r="D259" s="350"/>
      <c r="E259" s="312"/>
      <c r="F259" s="183" t="s">
        <v>10</v>
      </c>
      <c r="G259" s="308"/>
      <c r="H259" s="307"/>
      <c r="I259" s="307"/>
      <c r="J259" s="308"/>
      <c r="K259" s="310"/>
      <c r="L259" s="188" t="str">
        <f t="shared" si="57"/>
        <v>-</v>
      </c>
      <c r="M259" s="196" t="str">
        <f t="shared" si="58"/>
        <v>-</v>
      </c>
      <c r="N259" s="197" t="str">
        <f t="shared" si="59"/>
        <v>-</v>
      </c>
      <c r="O259" s="188" t="str">
        <f t="shared" si="60"/>
        <v>-</v>
      </c>
      <c r="P259" s="150" t="str">
        <f t="shared" si="61"/>
        <v>-</v>
      </c>
      <c r="Q259" s="198" t="str">
        <f t="shared" si="62"/>
        <v>-</v>
      </c>
      <c r="R259" s="202" t="str">
        <f t="shared" si="63"/>
        <v>-</v>
      </c>
      <c r="S259" s="198" t="str">
        <f>IF(Q259="-","-",VLOOKUP(B259,'UEstandar-Uexp'!$A$125:$Z$324,11))</f>
        <v>-</v>
      </c>
      <c r="T259" s="190" t="s">
        <v>32</v>
      </c>
      <c r="U259" s="430" t="s">
        <v>32</v>
      </c>
      <c r="V259" s="430"/>
    </row>
    <row r="260" spans="2:22" ht="17.75" customHeight="1">
      <c r="B260" s="166">
        <f>IF(F260="M",COUNTIF($F$36:F260,"M"),"-")</f>
        <v>197</v>
      </c>
      <c r="C260" s="350"/>
      <c r="D260" s="350"/>
      <c r="E260" s="312"/>
      <c r="F260" s="183" t="s">
        <v>10</v>
      </c>
      <c r="G260" s="308"/>
      <c r="H260" s="307"/>
      <c r="I260" s="307"/>
      <c r="J260" s="308"/>
      <c r="K260" s="310"/>
      <c r="L260" s="188" t="str">
        <f t="shared" si="57"/>
        <v>-</v>
      </c>
      <c r="M260" s="196" t="str">
        <f t="shared" si="58"/>
        <v>-</v>
      </c>
      <c r="N260" s="197" t="str">
        <f t="shared" si="59"/>
        <v>-</v>
      </c>
      <c r="O260" s="188" t="str">
        <f t="shared" si="60"/>
        <v>-</v>
      </c>
      <c r="P260" s="150" t="str">
        <f t="shared" si="61"/>
        <v>-</v>
      </c>
      <c r="Q260" s="198" t="str">
        <f t="shared" si="62"/>
        <v>-</v>
      </c>
      <c r="R260" s="202" t="str">
        <f t="shared" si="63"/>
        <v>-</v>
      </c>
      <c r="S260" s="198" t="str">
        <f>IF(Q260="-","-",VLOOKUP(B260,'UEstandar-Uexp'!$A$125:$Z$324,11))</f>
        <v>-</v>
      </c>
      <c r="T260" s="190" t="s">
        <v>32</v>
      </c>
      <c r="U260" s="430" t="s">
        <v>32</v>
      </c>
      <c r="V260" s="430"/>
    </row>
    <row r="261" spans="2:22" ht="17.75" customHeight="1">
      <c r="B261" s="166">
        <f>IF(F261="M",COUNTIF($F$36:F261,"M"),"-")</f>
        <v>198</v>
      </c>
      <c r="C261" s="350"/>
      <c r="D261" s="350"/>
      <c r="E261" s="312"/>
      <c r="F261" s="183" t="s">
        <v>10</v>
      </c>
      <c r="G261" s="308"/>
      <c r="H261" s="307"/>
      <c r="I261" s="307"/>
      <c r="J261" s="308"/>
      <c r="K261" s="311"/>
      <c r="L261" s="188" t="str">
        <f t="shared" si="57"/>
        <v>-</v>
      </c>
      <c r="M261" s="196" t="str">
        <f t="shared" si="58"/>
        <v>-</v>
      </c>
      <c r="N261" s="197" t="str">
        <f t="shared" si="59"/>
        <v>-</v>
      </c>
      <c r="O261" s="188" t="str">
        <f t="shared" si="60"/>
        <v>-</v>
      </c>
      <c r="P261" s="150" t="str">
        <f t="shared" si="61"/>
        <v>-</v>
      </c>
      <c r="Q261" s="198" t="str">
        <f t="shared" si="62"/>
        <v>-</v>
      </c>
      <c r="R261" s="202" t="str">
        <f t="shared" si="63"/>
        <v>-</v>
      </c>
      <c r="S261" s="198" t="str">
        <f>IF(Q261="-","-",VLOOKUP(B261,'UEstandar-Uexp'!$A$125:$Z$324,11))</f>
        <v>-</v>
      </c>
      <c r="T261" s="190" t="s">
        <v>32</v>
      </c>
      <c r="U261" s="430" t="s">
        <v>32</v>
      </c>
      <c r="V261" s="430"/>
    </row>
    <row r="262" spans="2:22" ht="17.75" customHeight="1">
      <c r="B262" s="166">
        <f>IF(F262="M",COUNTIF($F$36:F262,"M"),"-")</f>
        <v>199</v>
      </c>
      <c r="C262" s="350"/>
      <c r="D262" s="350"/>
      <c r="E262" s="312"/>
      <c r="F262" s="183" t="s">
        <v>10</v>
      </c>
      <c r="G262" s="308"/>
      <c r="H262" s="307"/>
      <c r="I262" s="307"/>
      <c r="J262" s="308"/>
      <c r="K262" s="311"/>
      <c r="L262" s="188" t="str">
        <f t="shared" si="57"/>
        <v>-</v>
      </c>
      <c r="M262" s="196" t="str">
        <f t="shared" si="58"/>
        <v>-</v>
      </c>
      <c r="N262" s="197" t="str">
        <f t="shared" si="59"/>
        <v>-</v>
      </c>
      <c r="O262" s="188" t="str">
        <f t="shared" si="60"/>
        <v>-</v>
      </c>
      <c r="P262" s="150" t="str">
        <f t="shared" si="61"/>
        <v>-</v>
      </c>
      <c r="Q262" s="198" t="str">
        <f t="shared" si="62"/>
        <v>-</v>
      </c>
      <c r="R262" s="202" t="str">
        <f t="shared" si="63"/>
        <v>-</v>
      </c>
      <c r="S262" s="198" t="str">
        <f>IF(Q262="-","-",VLOOKUP(B262,'UEstandar-Uexp'!$A$125:$Z$324,11))</f>
        <v>-</v>
      </c>
      <c r="T262" s="190" t="s">
        <v>32</v>
      </c>
      <c r="U262" s="430" t="s">
        <v>32</v>
      </c>
      <c r="V262" s="430"/>
    </row>
    <row r="263" spans="2:22" ht="17.75" customHeight="1">
      <c r="B263" s="166">
        <f>IF(F263="M",COUNTIF($F$36:F263,"M"),"-")</f>
        <v>200</v>
      </c>
      <c r="C263" s="350"/>
      <c r="D263" s="350"/>
      <c r="E263" s="312"/>
      <c r="F263" s="183" t="s">
        <v>10</v>
      </c>
      <c r="G263" s="308"/>
      <c r="H263" s="307"/>
      <c r="I263" s="307"/>
      <c r="J263" s="308"/>
      <c r="K263" s="309"/>
      <c r="L263" s="188" t="str">
        <f t="shared" si="57"/>
        <v>-</v>
      </c>
      <c r="M263" s="196" t="str">
        <f t="shared" si="58"/>
        <v>-</v>
      </c>
      <c r="N263" s="197" t="str">
        <f t="shared" si="59"/>
        <v>-</v>
      </c>
      <c r="O263" s="188" t="str">
        <f t="shared" si="60"/>
        <v>-</v>
      </c>
      <c r="P263" s="150" t="str">
        <f t="shared" si="61"/>
        <v>-</v>
      </c>
      <c r="Q263" s="198" t="str">
        <f t="shared" si="62"/>
        <v>-</v>
      </c>
      <c r="R263" s="202" t="str">
        <f t="shared" si="63"/>
        <v>-</v>
      </c>
      <c r="S263" s="198" t="str">
        <f>IF(Q263="-","-",VLOOKUP(B263,'UEstandar-Uexp'!$A$125:$Z$324,11))</f>
        <v>-</v>
      </c>
      <c r="T263" s="190" t="s">
        <v>32</v>
      </c>
      <c r="U263" s="430" t="s">
        <v>32</v>
      </c>
      <c r="V263" s="430"/>
    </row>
  </sheetData>
  <sheetProtection algorithmName="SHA-512" hashValue="RPtkqKX66+5zIcQUIOeeTT6XTfKIMJbCqtlX/1GStQascFdg0h4VBBSOVEDTnBzKT8UOU+x2+4D8zTjEL9Fwkg==" saltValue="o9wge2EuNlnT5sn8AQnOXw==" spinCount="100000" sheet="1" selectLockedCells="1"/>
  <mergeCells count="592">
    <mergeCell ref="F12:I12"/>
    <mergeCell ref="J12:O12"/>
    <mergeCell ref="P12:S12"/>
    <mergeCell ref="T12:V12"/>
    <mergeCell ref="B13:E13"/>
    <mergeCell ref="B29:E29"/>
    <mergeCell ref="F29:I29"/>
    <mergeCell ref="J29:O29"/>
    <mergeCell ref="P29:S29"/>
    <mergeCell ref="T29:V29"/>
    <mergeCell ref="F19:G19"/>
    <mergeCell ref="H19:I19"/>
    <mergeCell ref="P14:V14"/>
    <mergeCell ref="Q17:R17"/>
    <mergeCell ref="F20:G20"/>
    <mergeCell ref="H18:I18"/>
    <mergeCell ref="H20:I20"/>
    <mergeCell ref="F14:G14"/>
    <mergeCell ref="H14:I14"/>
    <mergeCell ref="H15:I15"/>
    <mergeCell ref="F15:G15"/>
    <mergeCell ref="F16:G16"/>
    <mergeCell ref="F13:I13"/>
    <mergeCell ref="U228:V228"/>
    <mergeCell ref="U229:V229"/>
    <mergeCell ref="U230:V230"/>
    <mergeCell ref="U231:V231"/>
    <mergeCell ref="U232:V232"/>
    <mergeCell ref="U233:V233"/>
    <mergeCell ref="U258:V258"/>
    <mergeCell ref="U259:V259"/>
    <mergeCell ref="U260:V260"/>
    <mergeCell ref="U234:V234"/>
    <mergeCell ref="U235:V235"/>
    <mergeCell ref="U236:V236"/>
    <mergeCell ref="U255:V255"/>
    <mergeCell ref="U256:V256"/>
    <mergeCell ref="U257:V257"/>
    <mergeCell ref="U237:V237"/>
    <mergeCell ref="U238:V238"/>
    <mergeCell ref="U239:V239"/>
    <mergeCell ref="U240:V240"/>
    <mergeCell ref="U241:V241"/>
    <mergeCell ref="U242:V242"/>
    <mergeCell ref="U243:V243"/>
    <mergeCell ref="U244:V244"/>
    <mergeCell ref="U245:V245"/>
    <mergeCell ref="U261:V261"/>
    <mergeCell ref="U262:V262"/>
    <mergeCell ref="U263:V263"/>
    <mergeCell ref="U246:V246"/>
    <mergeCell ref="U247:V247"/>
    <mergeCell ref="U248:V248"/>
    <mergeCell ref="U249:V249"/>
    <mergeCell ref="U250:V250"/>
    <mergeCell ref="U251:V251"/>
    <mergeCell ref="U252:V252"/>
    <mergeCell ref="U253:V253"/>
    <mergeCell ref="U254:V254"/>
    <mergeCell ref="U219:V219"/>
    <mergeCell ref="U220:V220"/>
    <mergeCell ref="U221:V221"/>
    <mergeCell ref="U222:V222"/>
    <mergeCell ref="U223:V223"/>
    <mergeCell ref="U224:V224"/>
    <mergeCell ref="U225:V225"/>
    <mergeCell ref="U226:V226"/>
    <mergeCell ref="U227:V227"/>
    <mergeCell ref="U210:V210"/>
    <mergeCell ref="U211:V211"/>
    <mergeCell ref="U212:V212"/>
    <mergeCell ref="U213:V213"/>
    <mergeCell ref="U214:V214"/>
    <mergeCell ref="U215:V215"/>
    <mergeCell ref="U216:V216"/>
    <mergeCell ref="U217:V217"/>
    <mergeCell ref="U218:V218"/>
    <mergeCell ref="U201:V201"/>
    <mergeCell ref="U202:V202"/>
    <mergeCell ref="U203:V203"/>
    <mergeCell ref="U204:V204"/>
    <mergeCell ref="U205:V205"/>
    <mergeCell ref="U206:V206"/>
    <mergeCell ref="U207:V207"/>
    <mergeCell ref="U208:V208"/>
    <mergeCell ref="U209:V209"/>
    <mergeCell ref="U192:V192"/>
    <mergeCell ref="U193:V193"/>
    <mergeCell ref="U194:V194"/>
    <mergeCell ref="U195:V195"/>
    <mergeCell ref="U196:V196"/>
    <mergeCell ref="U197:V197"/>
    <mergeCell ref="U198:V198"/>
    <mergeCell ref="U199:V199"/>
    <mergeCell ref="U200:V200"/>
    <mergeCell ref="U183:V183"/>
    <mergeCell ref="U184:V184"/>
    <mergeCell ref="U185:V185"/>
    <mergeCell ref="U186:V186"/>
    <mergeCell ref="U187:V187"/>
    <mergeCell ref="U188:V188"/>
    <mergeCell ref="U189:V189"/>
    <mergeCell ref="U190:V190"/>
    <mergeCell ref="U191:V191"/>
    <mergeCell ref="U174:V174"/>
    <mergeCell ref="U175:V175"/>
    <mergeCell ref="U176:V176"/>
    <mergeCell ref="U177:V177"/>
    <mergeCell ref="U178:V178"/>
    <mergeCell ref="U179:V179"/>
    <mergeCell ref="U180:V180"/>
    <mergeCell ref="U181:V181"/>
    <mergeCell ref="U182:V182"/>
    <mergeCell ref="U165:V165"/>
    <mergeCell ref="U166:V166"/>
    <mergeCell ref="U167:V167"/>
    <mergeCell ref="U168:V168"/>
    <mergeCell ref="U169:V169"/>
    <mergeCell ref="U170:V170"/>
    <mergeCell ref="U171:V171"/>
    <mergeCell ref="U172:V172"/>
    <mergeCell ref="U173:V173"/>
    <mergeCell ref="U156:V156"/>
    <mergeCell ref="U157:V157"/>
    <mergeCell ref="U158:V158"/>
    <mergeCell ref="U159:V159"/>
    <mergeCell ref="U160:V160"/>
    <mergeCell ref="U161:V161"/>
    <mergeCell ref="U162:V162"/>
    <mergeCell ref="U163:V163"/>
    <mergeCell ref="U164:V164"/>
    <mergeCell ref="U147:V147"/>
    <mergeCell ref="U148:V148"/>
    <mergeCell ref="U149:V149"/>
    <mergeCell ref="U150:V150"/>
    <mergeCell ref="U151:V151"/>
    <mergeCell ref="U152:V152"/>
    <mergeCell ref="U153:V153"/>
    <mergeCell ref="U154:V154"/>
    <mergeCell ref="U155:V155"/>
    <mergeCell ref="U138:V138"/>
    <mergeCell ref="U139:V139"/>
    <mergeCell ref="U140:V140"/>
    <mergeCell ref="U141:V141"/>
    <mergeCell ref="U142:V142"/>
    <mergeCell ref="U143:V143"/>
    <mergeCell ref="U144:V144"/>
    <mergeCell ref="U145:V145"/>
    <mergeCell ref="U146:V146"/>
    <mergeCell ref="U129:V129"/>
    <mergeCell ref="U130:V130"/>
    <mergeCell ref="U131:V131"/>
    <mergeCell ref="U132:V132"/>
    <mergeCell ref="U133:V133"/>
    <mergeCell ref="U134:V134"/>
    <mergeCell ref="U135:V135"/>
    <mergeCell ref="U136:V136"/>
    <mergeCell ref="U137:V137"/>
    <mergeCell ref="U120:V120"/>
    <mergeCell ref="U121:V121"/>
    <mergeCell ref="U122:V122"/>
    <mergeCell ref="U123:V123"/>
    <mergeCell ref="U124:V124"/>
    <mergeCell ref="U125:V125"/>
    <mergeCell ref="U126:V126"/>
    <mergeCell ref="U127:V127"/>
    <mergeCell ref="U128:V128"/>
    <mergeCell ref="U111:V111"/>
    <mergeCell ref="U112:V112"/>
    <mergeCell ref="U113:V113"/>
    <mergeCell ref="U114:V114"/>
    <mergeCell ref="U115:V115"/>
    <mergeCell ref="U116:V116"/>
    <mergeCell ref="U117:V117"/>
    <mergeCell ref="U118:V118"/>
    <mergeCell ref="U119:V119"/>
    <mergeCell ref="U102:V102"/>
    <mergeCell ref="U103:V103"/>
    <mergeCell ref="U104:V104"/>
    <mergeCell ref="U105:V105"/>
    <mergeCell ref="U106:V106"/>
    <mergeCell ref="U107:V107"/>
    <mergeCell ref="U108:V108"/>
    <mergeCell ref="U109:V109"/>
    <mergeCell ref="U110:V110"/>
    <mergeCell ref="U93:V93"/>
    <mergeCell ref="U94:V94"/>
    <mergeCell ref="U95:V95"/>
    <mergeCell ref="U96:V96"/>
    <mergeCell ref="U97:V97"/>
    <mergeCell ref="U98:V98"/>
    <mergeCell ref="U99:V99"/>
    <mergeCell ref="U100:V100"/>
    <mergeCell ref="U101:V101"/>
    <mergeCell ref="U84:V84"/>
    <mergeCell ref="U85:V85"/>
    <mergeCell ref="U86:V86"/>
    <mergeCell ref="U87:V87"/>
    <mergeCell ref="U88:V88"/>
    <mergeCell ref="U89:V89"/>
    <mergeCell ref="U90:V90"/>
    <mergeCell ref="U91:V91"/>
    <mergeCell ref="U92:V92"/>
    <mergeCell ref="U75:V75"/>
    <mergeCell ref="U76:V76"/>
    <mergeCell ref="U77:V77"/>
    <mergeCell ref="U78:V78"/>
    <mergeCell ref="U79:V79"/>
    <mergeCell ref="U80:V80"/>
    <mergeCell ref="U81:V81"/>
    <mergeCell ref="U82:V82"/>
    <mergeCell ref="U83:V83"/>
    <mergeCell ref="U66:V66"/>
    <mergeCell ref="U67:V67"/>
    <mergeCell ref="U68:V68"/>
    <mergeCell ref="U69:V69"/>
    <mergeCell ref="U70:V70"/>
    <mergeCell ref="U71:V71"/>
    <mergeCell ref="U72:V72"/>
    <mergeCell ref="U73:V73"/>
    <mergeCell ref="U74:V74"/>
    <mergeCell ref="U57:V57"/>
    <mergeCell ref="U58:V58"/>
    <mergeCell ref="U59:V59"/>
    <mergeCell ref="U60:V60"/>
    <mergeCell ref="U61:V61"/>
    <mergeCell ref="U62:V62"/>
    <mergeCell ref="U63:V63"/>
    <mergeCell ref="U64:V64"/>
    <mergeCell ref="U65:V65"/>
    <mergeCell ref="U48:V48"/>
    <mergeCell ref="U49:V49"/>
    <mergeCell ref="U50:V50"/>
    <mergeCell ref="U51:V51"/>
    <mergeCell ref="U52:V52"/>
    <mergeCell ref="U53:V53"/>
    <mergeCell ref="U54:V54"/>
    <mergeCell ref="U55:V55"/>
    <mergeCell ref="U56:V56"/>
    <mergeCell ref="U39:V39"/>
    <mergeCell ref="U40:V40"/>
    <mergeCell ref="U41:V41"/>
    <mergeCell ref="U42:V42"/>
    <mergeCell ref="U43:V43"/>
    <mergeCell ref="U44:V44"/>
    <mergeCell ref="U45:V45"/>
    <mergeCell ref="U46:V46"/>
    <mergeCell ref="U47:V47"/>
    <mergeCell ref="T30:V30"/>
    <mergeCell ref="U31:V31"/>
    <mergeCell ref="U32:V32"/>
    <mergeCell ref="U33:V33"/>
    <mergeCell ref="U34:V34"/>
    <mergeCell ref="U35:V35"/>
    <mergeCell ref="U36:V36"/>
    <mergeCell ref="U37:V37"/>
    <mergeCell ref="U38:V38"/>
    <mergeCell ref="C262:D262"/>
    <mergeCell ref="C263:D263"/>
    <mergeCell ref="C253:D253"/>
    <mergeCell ref="C254:D254"/>
    <mergeCell ref="C255:D255"/>
    <mergeCell ref="C256:D256"/>
    <mergeCell ref="C257:D257"/>
    <mergeCell ref="C258:D258"/>
    <mergeCell ref="C259:D259"/>
    <mergeCell ref="C260:D260"/>
    <mergeCell ref="C261:D261"/>
    <mergeCell ref="C244:D244"/>
    <mergeCell ref="C245:D245"/>
    <mergeCell ref="C246:D246"/>
    <mergeCell ref="C247:D247"/>
    <mergeCell ref="C248:D248"/>
    <mergeCell ref="C249:D249"/>
    <mergeCell ref="C250:D250"/>
    <mergeCell ref="C251:D251"/>
    <mergeCell ref="C252:D252"/>
    <mergeCell ref="C235:D235"/>
    <mergeCell ref="C236:D236"/>
    <mergeCell ref="C237:D237"/>
    <mergeCell ref="C238:D238"/>
    <mergeCell ref="C239:D239"/>
    <mergeCell ref="C240:D240"/>
    <mergeCell ref="C242:D242"/>
    <mergeCell ref="C243:D243"/>
    <mergeCell ref="C226:D226"/>
    <mergeCell ref="C227:D227"/>
    <mergeCell ref="C228:D228"/>
    <mergeCell ref="C229:D229"/>
    <mergeCell ref="C230:D230"/>
    <mergeCell ref="C231:D231"/>
    <mergeCell ref="C232:D232"/>
    <mergeCell ref="C233:D233"/>
    <mergeCell ref="C234:D234"/>
    <mergeCell ref="C217:D217"/>
    <mergeCell ref="C219:D219"/>
    <mergeCell ref="C220:D220"/>
    <mergeCell ref="C221:D221"/>
    <mergeCell ref="C222:D222"/>
    <mergeCell ref="C223:D223"/>
    <mergeCell ref="C224:D224"/>
    <mergeCell ref="C225:D225"/>
    <mergeCell ref="C208:D208"/>
    <mergeCell ref="C209:D209"/>
    <mergeCell ref="C210:D210"/>
    <mergeCell ref="C211:D211"/>
    <mergeCell ref="C212:D212"/>
    <mergeCell ref="C213:D213"/>
    <mergeCell ref="C214:D214"/>
    <mergeCell ref="C215:D215"/>
    <mergeCell ref="C216:D216"/>
    <mergeCell ref="C199:D199"/>
    <mergeCell ref="C200:D200"/>
    <mergeCell ref="C201:D201"/>
    <mergeCell ref="C202:D202"/>
    <mergeCell ref="C203:D203"/>
    <mergeCell ref="C204:D204"/>
    <mergeCell ref="C205:D205"/>
    <mergeCell ref="C206:D206"/>
    <mergeCell ref="C207:D207"/>
    <mergeCell ref="C190:D190"/>
    <mergeCell ref="C191:D191"/>
    <mergeCell ref="C192:D192"/>
    <mergeCell ref="C193:D193"/>
    <mergeCell ref="C194:D194"/>
    <mergeCell ref="C196:D196"/>
    <mergeCell ref="C197:D197"/>
    <mergeCell ref="C198:D198"/>
    <mergeCell ref="C181:D181"/>
    <mergeCell ref="C182:D182"/>
    <mergeCell ref="C183:D183"/>
    <mergeCell ref="C184:D184"/>
    <mergeCell ref="C185:D185"/>
    <mergeCell ref="C186:D186"/>
    <mergeCell ref="C187:D187"/>
    <mergeCell ref="C188:D188"/>
    <mergeCell ref="C189:D189"/>
    <mergeCell ref="C173:D173"/>
    <mergeCell ref="C174:D174"/>
    <mergeCell ref="C175:D175"/>
    <mergeCell ref="C176:D176"/>
    <mergeCell ref="C177:D177"/>
    <mergeCell ref="C178:D178"/>
    <mergeCell ref="C179:D179"/>
    <mergeCell ref="C180:D180"/>
    <mergeCell ref="C163:D163"/>
    <mergeCell ref="C164:D164"/>
    <mergeCell ref="C165:D165"/>
    <mergeCell ref="C166:D166"/>
    <mergeCell ref="C167:D167"/>
    <mergeCell ref="C168:D168"/>
    <mergeCell ref="C169:D169"/>
    <mergeCell ref="C170:D170"/>
    <mergeCell ref="C171:D171"/>
    <mergeCell ref="C154:D154"/>
    <mergeCell ref="C155:D155"/>
    <mergeCell ref="C156:D156"/>
    <mergeCell ref="C157:D157"/>
    <mergeCell ref="C158:D158"/>
    <mergeCell ref="C159:D159"/>
    <mergeCell ref="C160:D160"/>
    <mergeCell ref="C161:D161"/>
    <mergeCell ref="C162:D162"/>
    <mergeCell ref="S30:S31"/>
    <mergeCell ref="C148:D148"/>
    <mergeCell ref="C150:D150"/>
    <mergeCell ref="C151:D151"/>
    <mergeCell ref="C152:D152"/>
    <mergeCell ref="C153:D153"/>
    <mergeCell ref="C68:D68"/>
    <mergeCell ref="C69:D69"/>
    <mergeCell ref="C70:D70"/>
    <mergeCell ref="C71:D71"/>
    <mergeCell ref="C72:D72"/>
    <mergeCell ref="C73:D73"/>
    <mergeCell ref="C74:D74"/>
    <mergeCell ref="C75:D75"/>
    <mergeCell ref="C76:D76"/>
    <mergeCell ref="C40:D40"/>
    <mergeCell ref="C41:D41"/>
    <mergeCell ref="C42:D42"/>
    <mergeCell ref="C43:D43"/>
    <mergeCell ref="C36:D36"/>
    <mergeCell ref="C37:D37"/>
    <mergeCell ref="C38:D38"/>
    <mergeCell ref="C105:D105"/>
    <mergeCell ref="C33:D33"/>
    <mergeCell ref="K30:K31"/>
    <mergeCell ref="L30:L31"/>
    <mergeCell ref="M30:M31"/>
    <mergeCell ref="N30:N31"/>
    <mergeCell ref="O30:O31"/>
    <mergeCell ref="P30:P31"/>
    <mergeCell ref="Q30:Q31"/>
    <mergeCell ref="B24:C24"/>
    <mergeCell ref="R30:R31"/>
    <mergeCell ref="C66:D66"/>
    <mergeCell ref="C67:D67"/>
    <mergeCell ref="B30:B31"/>
    <mergeCell ref="C30:D31"/>
    <mergeCell ref="F30:F31"/>
    <mergeCell ref="G30:G31"/>
    <mergeCell ref="H30:H31"/>
    <mergeCell ref="I30:I31"/>
    <mergeCell ref="J30:J31"/>
    <mergeCell ref="C32:D32"/>
    <mergeCell ref="C56:D56"/>
    <mergeCell ref="C58:D58"/>
    <mergeCell ref="C59:D59"/>
    <mergeCell ref="C35:D35"/>
    <mergeCell ref="A1:C4"/>
    <mergeCell ref="D2:T4"/>
    <mergeCell ref="D1:T1"/>
    <mergeCell ref="O6:Q6"/>
    <mergeCell ref="R6:T6"/>
    <mergeCell ref="L6:N6"/>
    <mergeCell ref="F6:K6"/>
    <mergeCell ref="R10:T10"/>
    <mergeCell ref="L10:N10"/>
    <mergeCell ref="L9:N9"/>
    <mergeCell ref="O9:Q9"/>
    <mergeCell ref="O8:Q8"/>
    <mergeCell ref="R7:T7"/>
    <mergeCell ref="B5:V5"/>
    <mergeCell ref="U6:V6"/>
    <mergeCell ref="U7:V7"/>
    <mergeCell ref="U8:V8"/>
    <mergeCell ref="U9:V9"/>
    <mergeCell ref="O7:Q7"/>
    <mergeCell ref="L7:N7"/>
    <mergeCell ref="L8:N8"/>
    <mergeCell ref="F7:K7"/>
    <mergeCell ref="F8:K9"/>
    <mergeCell ref="C106:D106"/>
    <mergeCell ref="C107:D107"/>
    <mergeCell ref="C39:D39"/>
    <mergeCell ref="C104:D104"/>
    <mergeCell ref="C61:D61"/>
    <mergeCell ref="C62:D62"/>
    <mergeCell ref="C63:D63"/>
    <mergeCell ref="C64:D64"/>
    <mergeCell ref="C65:D65"/>
    <mergeCell ref="C60:D60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101:D101"/>
    <mergeCell ref="C102:D102"/>
    <mergeCell ref="C53:D53"/>
    <mergeCell ref="C54:D54"/>
    <mergeCell ref="C55:D55"/>
    <mergeCell ref="X7:Y7"/>
    <mergeCell ref="X8:Y8"/>
    <mergeCell ref="Z7:AB7"/>
    <mergeCell ref="Z8:AB8"/>
    <mergeCell ref="Z9:AB9"/>
    <mergeCell ref="X14:Y14"/>
    <mergeCell ref="U10:V10"/>
    <mergeCell ref="O23:V24"/>
    <mergeCell ref="Z14:AA14"/>
    <mergeCell ref="Z15:AA15"/>
    <mergeCell ref="Z16:AA16"/>
    <mergeCell ref="Q19:Q21"/>
    <mergeCell ref="R8:T8"/>
    <mergeCell ref="R9:T9"/>
    <mergeCell ref="O10:Q10"/>
    <mergeCell ref="Q15:R15"/>
    <mergeCell ref="T13:V13"/>
    <mergeCell ref="P13:S13"/>
    <mergeCell ref="J13:O13"/>
    <mergeCell ref="J23:K23"/>
    <mergeCell ref="X9:Y9"/>
    <mergeCell ref="F10:K10"/>
    <mergeCell ref="H21:I21"/>
    <mergeCell ref="F21:G21"/>
    <mergeCell ref="X26:Y26"/>
    <mergeCell ref="Z26:AA26"/>
    <mergeCell ref="X15:Y15"/>
    <mergeCell ref="S25:U25"/>
    <mergeCell ref="X16:Y16"/>
    <mergeCell ref="Q16:R16"/>
    <mergeCell ref="P15:P17"/>
    <mergeCell ref="P18:R18"/>
    <mergeCell ref="S18:V18"/>
    <mergeCell ref="R19:R21"/>
    <mergeCell ref="P19:P21"/>
    <mergeCell ref="O26:V27"/>
    <mergeCell ref="O25:Q25"/>
    <mergeCell ref="AE14:AF14"/>
    <mergeCell ref="AC15:AD15"/>
    <mergeCell ref="AE15:AF15"/>
    <mergeCell ref="AC16:AD16"/>
    <mergeCell ref="AE16:AF16"/>
    <mergeCell ref="X23:Y23"/>
    <mergeCell ref="X24:Y24"/>
    <mergeCell ref="X25:Y25"/>
    <mergeCell ref="Z23:AA23"/>
    <mergeCell ref="Z24:AA24"/>
    <mergeCell ref="Z25:AA25"/>
    <mergeCell ref="AC14:AD14"/>
    <mergeCell ref="C77:D77"/>
    <mergeCell ref="C78:D78"/>
    <mergeCell ref="C79:D79"/>
    <mergeCell ref="C81:D81"/>
    <mergeCell ref="C82:D82"/>
    <mergeCell ref="C83:D83"/>
    <mergeCell ref="C84:D84"/>
    <mergeCell ref="C85:D85"/>
    <mergeCell ref="C100:D100"/>
    <mergeCell ref="C86:D86"/>
    <mergeCell ref="C87:D87"/>
    <mergeCell ref="C88:D88"/>
    <mergeCell ref="C89:D89"/>
    <mergeCell ref="C90:D90"/>
    <mergeCell ref="C91:D91"/>
    <mergeCell ref="C92:D92"/>
    <mergeCell ref="C93:D93"/>
    <mergeCell ref="C94:D94"/>
    <mergeCell ref="C95:D95"/>
    <mergeCell ref="C96:D96"/>
    <mergeCell ref="C97:D97"/>
    <mergeCell ref="C98:D98"/>
    <mergeCell ref="C99:D99"/>
    <mergeCell ref="C108:D108"/>
    <mergeCell ref="C116:D116"/>
    <mergeCell ref="C117:D117"/>
    <mergeCell ref="C118:D118"/>
    <mergeCell ref="C119:D119"/>
    <mergeCell ref="C120:D120"/>
    <mergeCell ref="C121:D121"/>
    <mergeCell ref="C122:D122"/>
    <mergeCell ref="C123:D123"/>
    <mergeCell ref="C112:D112"/>
    <mergeCell ref="C113:D113"/>
    <mergeCell ref="C114:D114"/>
    <mergeCell ref="C115:D115"/>
    <mergeCell ref="C109:D109"/>
    <mergeCell ref="C110:D110"/>
    <mergeCell ref="C111:D111"/>
    <mergeCell ref="C124:D124"/>
    <mergeCell ref="C143:D143"/>
    <mergeCell ref="C144:D144"/>
    <mergeCell ref="C145:D145"/>
    <mergeCell ref="C146:D146"/>
    <mergeCell ref="C147:D147"/>
    <mergeCell ref="C134:D134"/>
    <mergeCell ref="C135:D135"/>
    <mergeCell ref="C136:D136"/>
    <mergeCell ref="C137:D137"/>
    <mergeCell ref="C138:D138"/>
    <mergeCell ref="C139:D139"/>
    <mergeCell ref="C140:D140"/>
    <mergeCell ref="C141:D141"/>
    <mergeCell ref="C142:D142"/>
    <mergeCell ref="C125:D125"/>
    <mergeCell ref="C127:D127"/>
    <mergeCell ref="C128:D128"/>
    <mergeCell ref="C129:D129"/>
    <mergeCell ref="C130:D130"/>
    <mergeCell ref="C131:D131"/>
    <mergeCell ref="C132:D132"/>
    <mergeCell ref="C133:D133"/>
    <mergeCell ref="B6:E6"/>
    <mergeCell ref="B7:E7"/>
    <mergeCell ref="C14:E14"/>
    <mergeCell ref="C15:E15"/>
    <mergeCell ref="C16:E16"/>
    <mergeCell ref="C17:E17"/>
    <mergeCell ref="B23:C23"/>
    <mergeCell ref="B14:B21"/>
    <mergeCell ref="B28:C28"/>
    <mergeCell ref="B10:E10"/>
    <mergeCell ref="B25:C25"/>
    <mergeCell ref="B26:C26"/>
    <mergeCell ref="B27:C27"/>
    <mergeCell ref="B8:E9"/>
    <mergeCell ref="B12:E12"/>
    <mergeCell ref="H16:I16"/>
    <mergeCell ref="F17:G17"/>
    <mergeCell ref="H17:I17"/>
    <mergeCell ref="F18:G18"/>
    <mergeCell ref="C18:E18"/>
    <mergeCell ref="C19:E19"/>
    <mergeCell ref="C20:E20"/>
    <mergeCell ref="C21:E21"/>
    <mergeCell ref="E30:E31"/>
  </mergeCells>
  <phoneticPr fontId="12" type="noConversion"/>
  <conditionalFormatting sqref="R37:R56 R60:R79">
    <cfRule type="containsText" dxfId="22" priority="33" stopIfTrue="1" operator="containsText" text="Reportar &lt;LC">
      <formula>NOT(ISERROR(SEARCH("Reportar &lt;LC",R37)))</formula>
    </cfRule>
  </conditionalFormatting>
  <conditionalFormatting sqref="R83:R102 R106:R125 R129:R148 R150:R171 R175:R194 R198:R217 R221:R240 R244:R263 R32:R56 R58:S59 R60:R79 R81:S82 R104:S105 R127:S128 S150:S151 R173:S174 R196:S197 R219:S220 R242:S243">
    <cfRule type="containsText" dxfId="21" priority="22" operator="containsText" text="&lt; LC">
      <formula>NOT(ISERROR(SEARCH("&lt; LC",R32)))</formula>
    </cfRule>
  </conditionalFormatting>
  <conditionalFormatting sqref="R83:R102">
    <cfRule type="containsText" dxfId="20" priority="21" stopIfTrue="1" operator="containsText" text="Reportar &lt;LC">
      <formula>NOT(ISERROR(SEARCH("Reportar &lt;LC",R83)))</formula>
    </cfRule>
  </conditionalFormatting>
  <conditionalFormatting sqref="R106:R125">
    <cfRule type="containsText" dxfId="19" priority="20" stopIfTrue="1" operator="containsText" text="Reportar &lt;LC">
      <formula>NOT(ISERROR(SEARCH("Reportar &lt;LC",R106)))</formula>
    </cfRule>
  </conditionalFormatting>
  <conditionalFormatting sqref="R129:R148">
    <cfRule type="containsText" dxfId="18" priority="19" stopIfTrue="1" operator="containsText" text="Reportar &lt;LC">
      <formula>NOT(ISERROR(SEARCH("Reportar &lt;LC",R129)))</formula>
    </cfRule>
  </conditionalFormatting>
  <conditionalFormatting sqref="R152:R171">
    <cfRule type="containsText" dxfId="17" priority="18" stopIfTrue="1" operator="containsText" text="Reportar &lt;LC">
      <formula>NOT(ISERROR(SEARCH("Reportar &lt;LC",R152)))</formula>
    </cfRule>
  </conditionalFormatting>
  <conditionalFormatting sqref="R175:R194">
    <cfRule type="containsText" dxfId="16" priority="17" stopIfTrue="1" operator="containsText" text="Reportar &lt;LC">
      <formula>NOT(ISERROR(SEARCH("Reportar &lt;LC",R175)))</formula>
    </cfRule>
  </conditionalFormatting>
  <conditionalFormatting sqref="R198:R217">
    <cfRule type="containsText" dxfId="15" priority="16" stopIfTrue="1" operator="containsText" text="Reportar &lt;LC">
      <formula>NOT(ISERROR(SEARCH("Reportar &lt;LC",R198)))</formula>
    </cfRule>
  </conditionalFormatting>
  <conditionalFormatting sqref="R221:R240">
    <cfRule type="containsText" dxfId="14" priority="15" stopIfTrue="1" operator="containsText" text="Reportar &lt;LC">
      <formula>NOT(ISERROR(SEARCH("Reportar &lt;LC",R221)))</formula>
    </cfRule>
  </conditionalFormatting>
  <conditionalFormatting sqref="R244:R263">
    <cfRule type="containsText" dxfId="13" priority="14" stopIfTrue="1" operator="containsText" text="Reportar &lt;LC">
      <formula>NOT(ISERROR(SEARCH("Reportar &lt;LC",R244)))</formula>
    </cfRule>
  </conditionalFormatting>
  <conditionalFormatting sqref="U32:U34 U36:U57 U59:U80 U82:U103 U105:U126 U128:U149 U151:U172 U174:U195 U197:U218 U220:U241 U243:U263">
    <cfRule type="containsText" dxfId="12" priority="13" operator="containsText" text="No cumple">
      <formula>NOT(ISERROR(SEARCH("No cumple",U32)))</formula>
    </cfRule>
  </conditionalFormatting>
  <conditionalFormatting sqref="E32:E263">
    <cfRule type="expression" dxfId="11" priority="11">
      <formula>AND(E32&lt;&gt;"", SEARCH("Olsen", $F$7)&gt;0, E32&lt;6.5)</formula>
    </cfRule>
    <cfRule type="expression" dxfId="10" priority="12">
      <formula>AND(E32&lt;&gt;"", SEARCH("Bray", $F$7)&gt;0, SEARCH("Kurtz", $F$7)&gt;0, E32&gt;=6.5)</formula>
    </cfRule>
  </conditionalFormatting>
  <conditionalFormatting sqref="U35">
    <cfRule type="containsText" dxfId="9" priority="10" operator="containsText" text="No cumple">
      <formula>NOT(ISERROR(SEARCH("No cumple",U35)))</formula>
    </cfRule>
  </conditionalFormatting>
  <conditionalFormatting sqref="U58">
    <cfRule type="containsText" dxfId="8" priority="9" operator="containsText" text="No cumple">
      <formula>NOT(ISERROR(SEARCH("No cumple",U58)))</formula>
    </cfRule>
  </conditionalFormatting>
  <conditionalFormatting sqref="U81">
    <cfRule type="containsText" dxfId="7" priority="8" operator="containsText" text="No cumple">
      <formula>NOT(ISERROR(SEARCH("No cumple",U81)))</formula>
    </cfRule>
  </conditionalFormatting>
  <conditionalFormatting sqref="U104">
    <cfRule type="containsText" dxfId="6" priority="7" operator="containsText" text="No cumple">
      <formula>NOT(ISERROR(SEARCH("No cumple",U104)))</formula>
    </cfRule>
  </conditionalFormatting>
  <conditionalFormatting sqref="U127">
    <cfRule type="containsText" dxfId="5" priority="6" operator="containsText" text="No cumple">
      <formula>NOT(ISERROR(SEARCH("No cumple",U127)))</formula>
    </cfRule>
  </conditionalFormatting>
  <conditionalFormatting sqref="U150">
    <cfRule type="containsText" dxfId="4" priority="5" operator="containsText" text="No cumple">
      <formula>NOT(ISERROR(SEARCH("No cumple",U150)))</formula>
    </cfRule>
  </conditionalFormatting>
  <conditionalFormatting sqref="U173">
    <cfRule type="containsText" dxfId="3" priority="4" operator="containsText" text="No cumple">
      <formula>NOT(ISERROR(SEARCH("No cumple",U173)))</formula>
    </cfRule>
  </conditionalFormatting>
  <conditionalFormatting sqref="U196">
    <cfRule type="containsText" dxfId="2" priority="3" operator="containsText" text="No cumple">
      <formula>NOT(ISERROR(SEARCH("No cumple",U196)))</formula>
    </cfRule>
  </conditionalFormatting>
  <conditionalFormatting sqref="U219">
    <cfRule type="containsText" dxfId="1" priority="2" operator="containsText" text="No cumple">
      <formula>NOT(ISERROR(SEARCH("No cumple",U219)))</formula>
    </cfRule>
  </conditionalFormatting>
  <conditionalFormatting sqref="U242">
    <cfRule type="containsText" dxfId="0" priority="1" operator="containsText" text="No cumple">
      <formula>NOT(ISERROR(SEARCH("No cumple",U242)))</formula>
    </cfRule>
  </conditionalFormatting>
  <dataValidations count="2">
    <dataValidation type="list" allowBlank="1" showInputMessage="1" showErrorMessage="1" sqref="F220 F243 F197 F174 F151 F128" xr:uid="{00000000-0002-0000-0000-000000000000}">
      <formula1>$K$27:$K$28</formula1>
    </dataValidation>
    <dataValidation type="list" allowBlank="1" showInputMessage="1" showErrorMessage="1" sqref="F7:K7" xr:uid="{00000000-0002-0000-0000-000001000000}">
      <formula1>"Fósforo Disponible - Metodo Bray y Kurtz,Fósforo Disponible - Metodo Olsen"</formula1>
    </dataValidation>
  </dataValidations>
  <pageMargins left="0.196850393700787" right="0" top="0.55118110236220497" bottom="0.196850393700787" header="0.31496062992126" footer="0.31496062992126"/>
  <pageSetup paperSize="9" scale="45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loquearTodo">
                <anchor>
                  <from>
                    <xdr:col>23</xdr:col>
                    <xdr:colOff>177800</xdr:colOff>
                    <xdr:row>0</xdr:row>
                    <xdr:rowOff>165100</xdr:rowOff>
                  </from>
                  <to>
                    <xdr:col>25</xdr:col>
                    <xdr:colOff>139700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sbloquearTodo">
                <anchor>
                  <from>
                    <xdr:col>26</xdr:col>
                    <xdr:colOff>88900</xdr:colOff>
                    <xdr:row>0</xdr:row>
                    <xdr:rowOff>177800</xdr:rowOff>
                  </from>
                  <to>
                    <xdr:col>28</xdr:col>
                    <xdr:colOff>63500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P324"/>
  <sheetViews>
    <sheetView showGridLines="0" view="pageBreakPreview" topLeftCell="A59" zoomScale="85" zoomScaleNormal="85" zoomScaleSheetLayoutView="85" workbookViewId="0">
      <selection activeCell="R3" sqref="R3"/>
    </sheetView>
  </sheetViews>
  <sheetFormatPr baseColWidth="10" defaultColWidth="11.33203125" defaultRowHeight="13"/>
  <cols>
    <col min="1" max="1" width="4.1640625" style="3" customWidth="1"/>
    <col min="2" max="2" width="14.5" style="3" customWidth="1"/>
    <col min="3" max="4" width="13.6640625" style="3" customWidth="1"/>
    <col min="5" max="5" width="13.6640625" style="30" customWidth="1"/>
    <col min="6" max="7" width="13.6640625" style="3" customWidth="1"/>
    <col min="8" max="11" width="13.6640625" style="30" customWidth="1"/>
    <col min="12" max="14" width="13.6640625" style="3" customWidth="1"/>
    <col min="15" max="17" width="13.6640625" style="30" customWidth="1"/>
    <col min="18" max="18" width="11.6640625" style="1" bestFit="1" customWidth="1"/>
    <col min="19" max="19" width="11.6640625" style="1" customWidth="1"/>
    <col min="20" max="33" width="9.33203125" style="1" customWidth="1"/>
    <col min="34" max="38" width="9.33203125" style="3" customWidth="1"/>
    <col min="39" max="40" width="9.33203125" style="1" customWidth="1"/>
    <col min="41" max="47" width="9" style="1" customWidth="1"/>
    <col min="48" max="55" width="9" style="3" customWidth="1"/>
    <col min="56" max="268" width="11.33203125" style="3"/>
    <col min="269" max="269" width="5.33203125" style="3" customWidth="1"/>
    <col min="270" max="270" width="12.6640625" style="3" customWidth="1"/>
    <col min="271" max="271" width="11.33203125" style="3" customWidth="1"/>
    <col min="272" max="272" width="11" style="3" customWidth="1"/>
    <col min="273" max="273" width="8.6640625" style="3" customWidth="1"/>
    <col min="274" max="274" width="8.83203125" style="3" customWidth="1"/>
    <col min="275" max="275" width="8.5" style="3" customWidth="1"/>
    <col min="276" max="276" width="8" style="3" customWidth="1"/>
    <col min="277" max="277" width="9.33203125" style="3" customWidth="1"/>
    <col min="278" max="278" width="8.33203125" style="3" customWidth="1"/>
    <col min="279" max="279" width="11" style="3" customWidth="1"/>
    <col min="280" max="280" width="10.6640625" style="3" customWidth="1"/>
    <col min="281" max="281" width="10.33203125" style="3" customWidth="1"/>
    <col min="282" max="284" width="8.6640625" style="3" customWidth="1"/>
    <col min="285" max="524" width="11.33203125" style="3"/>
    <col min="525" max="525" width="5.33203125" style="3" customWidth="1"/>
    <col min="526" max="526" width="12.6640625" style="3" customWidth="1"/>
    <col min="527" max="527" width="11.33203125" style="3" customWidth="1"/>
    <col min="528" max="528" width="11" style="3" customWidth="1"/>
    <col min="529" max="529" width="8.6640625" style="3" customWidth="1"/>
    <col min="530" max="530" width="8.83203125" style="3" customWidth="1"/>
    <col min="531" max="531" width="8.5" style="3" customWidth="1"/>
    <col min="532" max="532" width="8" style="3" customWidth="1"/>
    <col min="533" max="533" width="9.33203125" style="3" customWidth="1"/>
    <col min="534" max="534" width="8.33203125" style="3" customWidth="1"/>
    <col min="535" max="535" width="11" style="3" customWidth="1"/>
    <col min="536" max="536" width="10.6640625" style="3" customWidth="1"/>
    <col min="537" max="537" width="10.33203125" style="3" customWidth="1"/>
    <col min="538" max="540" width="8.6640625" style="3" customWidth="1"/>
    <col min="541" max="780" width="11.33203125" style="3"/>
    <col min="781" max="781" width="5.33203125" style="3" customWidth="1"/>
    <col min="782" max="782" width="12.6640625" style="3" customWidth="1"/>
    <col min="783" max="783" width="11.33203125" style="3" customWidth="1"/>
    <col min="784" max="784" width="11" style="3" customWidth="1"/>
    <col min="785" max="785" width="8.6640625" style="3" customWidth="1"/>
    <col min="786" max="786" width="8.83203125" style="3" customWidth="1"/>
    <col min="787" max="787" width="8.5" style="3" customWidth="1"/>
    <col min="788" max="788" width="8" style="3" customWidth="1"/>
    <col min="789" max="789" width="9.33203125" style="3" customWidth="1"/>
    <col min="790" max="790" width="8.33203125" style="3" customWidth="1"/>
    <col min="791" max="791" width="11" style="3" customWidth="1"/>
    <col min="792" max="792" width="10.6640625" style="3" customWidth="1"/>
    <col min="793" max="793" width="10.33203125" style="3" customWidth="1"/>
    <col min="794" max="796" width="8.6640625" style="3" customWidth="1"/>
    <col min="797" max="1036" width="11.33203125" style="3"/>
    <col min="1037" max="1037" width="5.33203125" style="3" customWidth="1"/>
    <col min="1038" max="1038" width="12.6640625" style="3" customWidth="1"/>
    <col min="1039" max="1039" width="11.33203125" style="3" customWidth="1"/>
    <col min="1040" max="1040" width="11" style="3" customWidth="1"/>
    <col min="1041" max="1041" width="8.6640625" style="3" customWidth="1"/>
    <col min="1042" max="1042" width="8.83203125" style="3" customWidth="1"/>
    <col min="1043" max="1043" width="8.5" style="3" customWidth="1"/>
    <col min="1044" max="1044" width="8" style="3" customWidth="1"/>
    <col min="1045" max="1045" width="9.33203125" style="3" customWidth="1"/>
    <col min="1046" max="1046" width="8.33203125" style="3" customWidth="1"/>
    <col min="1047" max="1047" width="11" style="3" customWidth="1"/>
    <col min="1048" max="1048" width="10.6640625" style="3" customWidth="1"/>
    <col min="1049" max="1049" width="10.33203125" style="3" customWidth="1"/>
    <col min="1050" max="1052" width="8.6640625" style="3" customWidth="1"/>
    <col min="1053" max="1292" width="11.33203125" style="3"/>
    <col min="1293" max="1293" width="5.33203125" style="3" customWidth="1"/>
    <col min="1294" max="1294" width="12.6640625" style="3" customWidth="1"/>
    <col min="1295" max="1295" width="11.33203125" style="3" customWidth="1"/>
    <col min="1296" max="1296" width="11" style="3" customWidth="1"/>
    <col min="1297" max="1297" width="8.6640625" style="3" customWidth="1"/>
    <col min="1298" max="1298" width="8.83203125" style="3" customWidth="1"/>
    <col min="1299" max="1299" width="8.5" style="3" customWidth="1"/>
    <col min="1300" max="1300" width="8" style="3" customWidth="1"/>
    <col min="1301" max="1301" width="9.33203125" style="3" customWidth="1"/>
    <col min="1302" max="1302" width="8.33203125" style="3" customWidth="1"/>
    <col min="1303" max="1303" width="11" style="3" customWidth="1"/>
    <col min="1304" max="1304" width="10.6640625" style="3" customWidth="1"/>
    <col min="1305" max="1305" width="10.33203125" style="3" customWidth="1"/>
    <col min="1306" max="1308" width="8.6640625" style="3" customWidth="1"/>
    <col min="1309" max="1548" width="11.33203125" style="3"/>
    <col min="1549" max="1549" width="5.33203125" style="3" customWidth="1"/>
    <col min="1550" max="1550" width="12.6640625" style="3" customWidth="1"/>
    <col min="1551" max="1551" width="11.33203125" style="3" customWidth="1"/>
    <col min="1552" max="1552" width="11" style="3" customWidth="1"/>
    <col min="1553" max="1553" width="8.6640625" style="3" customWidth="1"/>
    <col min="1554" max="1554" width="8.83203125" style="3" customWidth="1"/>
    <col min="1555" max="1555" width="8.5" style="3" customWidth="1"/>
    <col min="1556" max="1556" width="8" style="3" customWidth="1"/>
    <col min="1557" max="1557" width="9.33203125" style="3" customWidth="1"/>
    <col min="1558" max="1558" width="8.33203125" style="3" customWidth="1"/>
    <col min="1559" max="1559" width="11" style="3" customWidth="1"/>
    <col min="1560" max="1560" width="10.6640625" style="3" customWidth="1"/>
    <col min="1561" max="1561" width="10.33203125" style="3" customWidth="1"/>
    <col min="1562" max="1564" width="8.6640625" style="3" customWidth="1"/>
    <col min="1565" max="1804" width="11.33203125" style="3"/>
    <col min="1805" max="1805" width="5.33203125" style="3" customWidth="1"/>
    <col min="1806" max="1806" width="12.6640625" style="3" customWidth="1"/>
    <col min="1807" max="1807" width="11.33203125" style="3" customWidth="1"/>
    <col min="1808" max="1808" width="11" style="3" customWidth="1"/>
    <col min="1809" max="1809" width="8.6640625" style="3" customWidth="1"/>
    <col min="1810" max="1810" width="8.83203125" style="3" customWidth="1"/>
    <col min="1811" max="1811" width="8.5" style="3" customWidth="1"/>
    <col min="1812" max="1812" width="8" style="3" customWidth="1"/>
    <col min="1813" max="1813" width="9.33203125" style="3" customWidth="1"/>
    <col min="1814" max="1814" width="8.33203125" style="3" customWidth="1"/>
    <col min="1815" max="1815" width="11" style="3" customWidth="1"/>
    <col min="1816" max="1816" width="10.6640625" style="3" customWidth="1"/>
    <col min="1817" max="1817" width="10.33203125" style="3" customWidth="1"/>
    <col min="1818" max="1820" width="8.6640625" style="3" customWidth="1"/>
    <col min="1821" max="2060" width="11.33203125" style="3"/>
    <col min="2061" max="2061" width="5.33203125" style="3" customWidth="1"/>
    <col min="2062" max="2062" width="12.6640625" style="3" customWidth="1"/>
    <col min="2063" max="2063" width="11.33203125" style="3" customWidth="1"/>
    <col min="2064" max="2064" width="11" style="3" customWidth="1"/>
    <col min="2065" max="2065" width="8.6640625" style="3" customWidth="1"/>
    <col min="2066" max="2066" width="8.83203125" style="3" customWidth="1"/>
    <col min="2067" max="2067" width="8.5" style="3" customWidth="1"/>
    <col min="2068" max="2068" width="8" style="3" customWidth="1"/>
    <col min="2069" max="2069" width="9.33203125" style="3" customWidth="1"/>
    <col min="2070" max="2070" width="8.33203125" style="3" customWidth="1"/>
    <col min="2071" max="2071" width="11" style="3" customWidth="1"/>
    <col min="2072" max="2072" width="10.6640625" style="3" customWidth="1"/>
    <col min="2073" max="2073" width="10.33203125" style="3" customWidth="1"/>
    <col min="2074" max="2076" width="8.6640625" style="3" customWidth="1"/>
    <col min="2077" max="2316" width="11.33203125" style="3"/>
    <col min="2317" max="2317" width="5.33203125" style="3" customWidth="1"/>
    <col min="2318" max="2318" width="12.6640625" style="3" customWidth="1"/>
    <col min="2319" max="2319" width="11.33203125" style="3" customWidth="1"/>
    <col min="2320" max="2320" width="11" style="3" customWidth="1"/>
    <col min="2321" max="2321" width="8.6640625" style="3" customWidth="1"/>
    <col min="2322" max="2322" width="8.83203125" style="3" customWidth="1"/>
    <col min="2323" max="2323" width="8.5" style="3" customWidth="1"/>
    <col min="2324" max="2324" width="8" style="3" customWidth="1"/>
    <col min="2325" max="2325" width="9.33203125" style="3" customWidth="1"/>
    <col min="2326" max="2326" width="8.33203125" style="3" customWidth="1"/>
    <col min="2327" max="2327" width="11" style="3" customWidth="1"/>
    <col min="2328" max="2328" width="10.6640625" style="3" customWidth="1"/>
    <col min="2329" max="2329" width="10.33203125" style="3" customWidth="1"/>
    <col min="2330" max="2332" width="8.6640625" style="3" customWidth="1"/>
    <col min="2333" max="2572" width="11.33203125" style="3"/>
    <col min="2573" max="2573" width="5.33203125" style="3" customWidth="1"/>
    <col min="2574" max="2574" width="12.6640625" style="3" customWidth="1"/>
    <col min="2575" max="2575" width="11.33203125" style="3" customWidth="1"/>
    <col min="2576" max="2576" width="11" style="3" customWidth="1"/>
    <col min="2577" max="2577" width="8.6640625" style="3" customWidth="1"/>
    <col min="2578" max="2578" width="8.83203125" style="3" customWidth="1"/>
    <col min="2579" max="2579" width="8.5" style="3" customWidth="1"/>
    <col min="2580" max="2580" width="8" style="3" customWidth="1"/>
    <col min="2581" max="2581" width="9.33203125" style="3" customWidth="1"/>
    <col min="2582" max="2582" width="8.33203125" style="3" customWidth="1"/>
    <col min="2583" max="2583" width="11" style="3" customWidth="1"/>
    <col min="2584" max="2584" width="10.6640625" style="3" customWidth="1"/>
    <col min="2585" max="2585" width="10.33203125" style="3" customWidth="1"/>
    <col min="2586" max="2588" width="8.6640625" style="3" customWidth="1"/>
    <col min="2589" max="2828" width="11.33203125" style="3"/>
    <col min="2829" max="2829" width="5.33203125" style="3" customWidth="1"/>
    <col min="2830" max="2830" width="12.6640625" style="3" customWidth="1"/>
    <col min="2831" max="2831" width="11.33203125" style="3" customWidth="1"/>
    <col min="2832" max="2832" width="11" style="3" customWidth="1"/>
    <col min="2833" max="2833" width="8.6640625" style="3" customWidth="1"/>
    <col min="2834" max="2834" width="8.83203125" style="3" customWidth="1"/>
    <col min="2835" max="2835" width="8.5" style="3" customWidth="1"/>
    <col min="2836" max="2836" width="8" style="3" customWidth="1"/>
    <col min="2837" max="2837" width="9.33203125" style="3" customWidth="1"/>
    <col min="2838" max="2838" width="8.33203125" style="3" customWidth="1"/>
    <col min="2839" max="2839" width="11" style="3" customWidth="1"/>
    <col min="2840" max="2840" width="10.6640625" style="3" customWidth="1"/>
    <col min="2841" max="2841" width="10.33203125" style="3" customWidth="1"/>
    <col min="2842" max="2844" width="8.6640625" style="3" customWidth="1"/>
    <col min="2845" max="3084" width="11.33203125" style="3"/>
    <col min="3085" max="3085" width="5.33203125" style="3" customWidth="1"/>
    <col min="3086" max="3086" width="12.6640625" style="3" customWidth="1"/>
    <col min="3087" max="3087" width="11.33203125" style="3" customWidth="1"/>
    <col min="3088" max="3088" width="11" style="3" customWidth="1"/>
    <col min="3089" max="3089" width="8.6640625" style="3" customWidth="1"/>
    <col min="3090" max="3090" width="8.83203125" style="3" customWidth="1"/>
    <col min="3091" max="3091" width="8.5" style="3" customWidth="1"/>
    <col min="3092" max="3092" width="8" style="3" customWidth="1"/>
    <col min="3093" max="3093" width="9.33203125" style="3" customWidth="1"/>
    <col min="3094" max="3094" width="8.33203125" style="3" customWidth="1"/>
    <col min="3095" max="3095" width="11" style="3" customWidth="1"/>
    <col min="3096" max="3096" width="10.6640625" style="3" customWidth="1"/>
    <col min="3097" max="3097" width="10.33203125" style="3" customWidth="1"/>
    <col min="3098" max="3100" width="8.6640625" style="3" customWidth="1"/>
    <col min="3101" max="3340" width="11.33203125" style="3"/>
    <col min="3341" max="3341" width="5.33203125" style="3" customWidth="1"/>
    <col min="3342" max="3342" width="12.6640625" style="3" customWidth="1"/>
    <col min="3343" max="3343" width="11.33203125" style="3" customWidth="1"/>
    <col min="3344" max="3344" width="11" style="3" customWidth="1"/>
    <col min="3345" max="3345" width="8.6640625" style="3" customWidth="1"/>
    <col min="3346" max="3346" width="8.83203125" style="3" customWidth="1"/>
    <col min="3347" max="3347" width="8.5" style="3" customWidth="1"/>
    <col min="3348" max="3348" width="8" style="3" customWidth="1"/>
    <col min="3349" max="3349" width="9.33203125" style="3" customWidth="1"/>
    <col min="3350" max="3350" width="8.33203125" style="3" customWidth="1"/>
    <col min="3351" max="3351" width="11" style="3" customWidth="1"/>
    <col min="3352" max="3352" width="10.6640625" style="3" customWidth="1"/>
    <col min="3353" max="3353" width="10.33203125" style="3" customWidth="1"/>
    <col min="3354" max="3356" width="8.6640625" style="3" customWidth="1"/>
    <col min="3357" max="3596" width="11.33203125" style="3"/>
    <col min="3597" max="3597" width="5.33203125" style="3" customWidth="1"/>
    <col min="3598" max="3598" width="12.6640625" style="3" customWidth="1"/>
    <col min="3599" max="3599" width="11.33203125" style="3" customWidth="1"/>
    <col min="3600" max="3600" width="11" style="3" customWidth="1"/>
    <col min="3601" max="3601" width="8.6640625" style="3" customWidth="1"/>
    <col min="3602" max="3602" width="8.83203125" style="3" customWidth="1"/>
    <col min="3603" max="3603" width="8.5" style="3" customWidth="1"/>
    <col min="3604" max="3604" width="8" style="3" customWidth="1"/>
    <col min="3605" max="3605" width="9.33203125" style="3" customWidth="1"/>
    <col min="3606" max="3606" width="8.33203125" style="3" customWidth="1"/>
    <col min="3607" max="3607" width="11" style="3" customWidth="1"/>
    <col min="3608" max="3608" width="10.6640625" style="3" customWidth="1"/>
    <col min="3609" max="3609" width="10.33203125" style="3" customWidth="1"/>
    <col min="3610" max="3612" width="8.6640625" style="3" customWidth="1"/>
    <col min="3613" max="3852" width="11.33203125" style="3"/>
    <col min="3853" max="3853" width="5.33203125" style="3" customWidth="1"/>
    <col min="3854" max="3854" width="12.6640625" style="3" customWidth="1"/>
    <col min="3855" max="3855" width="11.33203125" style="3" customWidth="1"/>
    <col min="3856" max="3856" width="11" style="3" customWidth="1"/>
    <col min="3857" max="3857" width="8.6640625" style="3" customWidth="1"/>
    <col min="3858" max="3858" width="8.83203125" style="3" customWidth="1"/>
    <col min="3859" max="3859" width="8.5" style="3" customWidth="1"/>
    <col min="3860" max="3860" width="8" style="3" customWidth="1"/>
    <col min="3861" max="3861" width="9.33203125" style="3" customWidth="1"/>
    <col min="3862" max="3862" width="8.33203125" style="3" customWidth="1"/>
    <col min="3863" max="3863" width="11" style="3" customWidth="1"/>
    <col min="3864" max="3864" width="10.6640625" style="3" customWidth="1"/>
    <col min="3865" max="3865" width="10.33203125" style="3" customWidth="1"/>
    <col min="3866" max="3868" width="8.6640625" style="3" customWidth="1"/>
    <col min="3869" max="4108" width="11.33203125" style="3"/>
    <col min="4109" max="4109" width="5.33203125" style="3" customWidth="1"/>
    <col min="4110" max="4110" width="12.6640625" style="3" customWidth="1"/>
    <col min="4111" max="4111" width="11.33203125" style="3" customWidth="1"/>
    <col min="4112" max="4112" width="11" style="3" customWidth="1"/>
    <col min="4113" max="4113" width="8.6640625" style="3" customWidth="1"/>
    <col min="4114" max="4114" width="8.83203125" style="3" customWidth="1"/>
    <col min="4115" max="4115" width="8.5" style="3" customWidth="1"/>
    <col min="4116" max="4116" width="8" style="3" customWidth="1"/>
    <col min="4117" max="4117" width="9.33203125" style="3" customWidth="1"/>
    <col min="4118" max="4118" width="8.33203125" style="3" customWidth="1"/>
    <col min="4119" max="4119" width="11" style="3" customWidth="1"/>
    <col min="4120" max="4120" width="10.6640625" style="3" customWidth="1"/>
    <col min="4121" max="4121" width="10.33203125" style="3" customWidth="1"/>
    <col min="4122" max="4124" width="8.6640625" style="3" customWidth="1"/>
    <col min="4125" max="4364" width="11.33203125" style="3"/>
    <col min="4365" max="4365" width="5.33203125" style="3" customWidth="1"/>
    <col min="4366" max="4366" width="12.6640625" style="3" customWidth="1"/>
    <col min="4367" max="4367" width="11.33203125" style="3" customWidth="1"/>
    <col min="4368" max="4368" width="11" style="3" customWidth="1"/>
    <col min="4369" max="4369" width="8.6640625" style="3" customWidth="1"/>
    <col min="4370" max="4370" width="8.83203125" style="3" customWidth="1"/>
    <col min="4371" max="4371" width="8.5" style="3" customWidth="1"/>
    <col min="4372" max="4372" width="8" style="3" customWidth="1"/>
    <col min="4373" max="4373" width="9.33203125" style="3" customWidth="1"/>
    <col min="4374" max="4374" width="8.33203125" style="3" customWidth="1"/>
    <col min="4375" max="4375" width="11" style="3" customWidth="1"/>
    <col min="4376" max="4376" width="10.6640625" style="3" customWidth="1"/>
    <col min="4377" max="4377" width="10.33203125" style="3" customWidth="1"/>
    <col min="4378" max="4380" width="8.6640625" style="3" customWidth="1"/>
    <col min="4381" max="4620" width="11.33203125" style="3"/>
    <col min="4621" max="4621" width="5.33203125" style="3" customWidth="1"/>
    <col min="4622" max="4622" width="12.6640625" style="3" customWidth="1"/>
    <col min="4623" max="4623" width="11.33203125" style="3" customWidth="1"/>
    <col min="4624" max="4624" width="11" style="3" customWidth="1"/>
    <col min="4625" max="4625" width="8.6640625" style="3" customWidth="1"/>
    <col min="4626" max="4626" width="8.83203125" style="3" customWidth="1"/>
    <col min="4627" max="4627" width="8.5" style="3" customWidth="1"/>
    <col min="4628" max="4628" width="8" style="3" customWidth="1"/>
    <col min="4629" max="4629" width="9.33203125" style="3" customWidth="1"/>
    <col min="4630" max="4630" width="8.33203125" style="3" customWidth="1"/>
    <col min="4631" max="4631" width="11" style="3" customWidth="1"/>
    <col min="4632" max="4632" width="10.6640625" style="3" customWidth="1"/>
    <col min="4633" max="4633" width="10.33203125" style="3" customWidth="1"/>
    <col min="4634" max="4636" width="8.6640625" style="3" customWidth="1"/>
    <col min="4637" max="4876" width="11.33203125" style="3"/>
    <col min="4877" max="4877" width="5.33203125" style="3" customWidth="1"/>
    <col min="4878" max="4878" width="12.6640625" style="3" customWidth="1"/>
    <col min="4879" max="4879" width="11.33203125" style="3" customWidth="1"/>
    <col min="4880" max="4880" width="11" style="3" customWidth="1"/>
    <col min="4881" max="4881" width="8.6640625" style="3" customWidth="1"/>
    <col min="4882" max="4882" width="8.83203125" style="3" customWidth="1"/>
    <col min="4883" max="4883" width="8.5" style="3" customWidth="1"/>
    <col min="4884" max="4884" width="8" style="3" customWidth="1"/>
    <col min="4885" max="4885" width="9.33203125" style="3" customWidth="1"/>
    <col min="4886" max="4886" width="8.33203125" style="3" customWidth="1"/>
    <col min="4887" max="4887" width="11" style="3" customWidth="1"/>
    <col min="4888" max="4888" width="10.6640625" style="3" customWidth="1"/>
    <col min="4889" max="4889" width="10.33203125" style="3" customWidth="1"/>
    <col min="4890" max="4892" width="8.6640625" style="3" customWidth="1"/>
    <col min="4893" max="5132" width="11.33203125" style="3"/>
    <col min="5133" max="5133" width="5.33203125" style="3" customWidth="1"/>
    <col min="5134" max="5134" width="12.6640625" style="3" customWidth="1"/>
    <col min="5135" max="5135" width="11.33203125" style="3" customWidth="1"/>
    <col min="5136" max="5136" width="11" style="3" customWidth="1"/>
    <col min="5137" max="5137" width="8.6640625" style="3" customWidth="1"/>
    <col min="5138" max="5138" width="8.83203125" style="3" customWidth="1"/>
    <col min="5139" max="5139" width="8.5" style="3" customWidth="1"/>
    <col min="5140" max="5140" width="8" style="3" customWidth="1"/>
    <col min="5141" max="5141" width="9.33203125" style="3" customWidth="1"/>
    <col min="5142" max="5142" width="8.33203125" style="3" customWidth="1"/>
    <col min="5143" max="5143" width="11" style="3" customWidth="1"/>
    <col min="5144" max="5144" width="10.6640625" style="3" customWidth="1"/>
    <col min="5145" max="5145" width="10.33203125" style="3" customWidth="1"/>
    <col min="5146" max="5148" width="8.6640625" style="3" customWidth="1"/>
    <col min="5149" max="5388" width="11.33203125" style="3"/>
    <col min="5389" max="5389" width="5.33203125" style="3" customWidth="1"/>
    <col min="5390" max="5390" width="12.6640625" style="3" customWidth="1"/>
    <col min="5391" max="5391" width="11.33203125" style="3" customWidth="1"/>
    <col min="5392" max="5392" width="11" style="3" customWidth="1"/>
    <col min="5393" max="5393" width="8.6640625" style="3" customWidth="1"/>
    <col min="5394" max="5394" width="8.83203125" style="3" customWidth="1"/>
    <col min="5395" max="5395" width="8.5" style="3" customWidth="1"/>
    <col min="5396" max="5396" width="8" style="3" customWidth="1"/>
    <col min="5397" max="5397" width="9.33203125" style="3" customWidth="1"/>
    <col min="5398" max="5398" width="8.33203125" style="3" customWidth="1"/>
    <col min="5399" max="5399" width="11" style="3" customWidth="1"/>
    <col min="5400" max="5400" width="10.6640625" style="3" customWidth="1"/>
    <col min="5401" max="5401" width="10.33203125" style="3" customWidth="1"/>
    <col min="5402" max="5404" width="8.6640625" style="3" customWidth="1"/>
    <col min="5405" max="5644" width="11.33203125" style="3"/>
    <col min="5645" max="5645" width="5.33203125" style="3" customWidth="1"/>
    <col min="5646" max="5646" width="12.6640625" style="3" customWidth="1"/>
    <col min="5647" max="5647" width="11.33203125" style="3" customWidth="1"/>
    <col min="5648" max="5648" width="11" style="3" customWidth="1"/>
    <col min="5649" max="5649" width="8.6640625" style="3" customWidth="1"/>
    <col min="5650" max="5650" width="8.83203125" style="3" customWidth="1"/>
    <col min="5651" max="5651" width="8.5" style="3" customWidth="1"/>
    <col min="5652" max="5652" width="8" style="3" customWidth="1"/>
    <col min="5653" max="5653" width="9.33203125" style="3" customWidth="1"/>
    <col min="5654" max="5654" width="8.33203125" style="3" customWidth="1"/>
    <col min="5655" max="5655" width="11" style="3" customWidth="1"/>
    <col min="5656" max="5656" width="10.6640625" style="3" customWidth="1"/>
    <col min="5657" max="5657" width="10.33203125" style="3" customWidth="1"/>
    <col min="5658" max="5660" width="8.6640625" style="3" customWidth="1"/>
    <col min="5661" max="5900" width="11.33203125" style="3"/>
    <col min="5901" max="5901" width="5.33203125" style="3" customWidth="1"/>
    <col min="5902" max="5902" width="12.6640625" style="3" customWidth="1"/>
    <col min="5903" max="5903" width="11.33203125" style="3" customWidth="1"/>
    <col min="5904" max="5904" width="11" style="3" customWidth="1"/>
    <col min="5905" max="5905" width="8.6640625" style="3" customWidth="1"/>
    <col min="5906" max="5906" width="8.83203125" style="3" customWidth="1"/>
    <col min="5907" max="5907" width="8.5" style="3" customWidth="1"/>
    <col min="5908" max="5908" width="8" style="3" customWidth="1"/>
    <col min="5909" max="5909" width="9.33203125" style="3" customWidth="1"/>
    <col min="5910" max="5910" width="8.33203125" style="3" customWidth="1"/>
    <col min="5911" max="5911" width="11" style="3" customWidth="1"/>
    <col min="5912" max="5912" width="10.6640625" style="3" customWidth="1"/>
    <col min="5913" max="5913" width="10.33203125" style="3" customWidth="1"/>
    <col min="5914" max="5916" width="8.6640625" style="3" customWidth="1"/>
    <col min="5917" max="6156" width="11.33203125" style="3"/>
    <col min="6157" max="6157" width="5.33203125" style="3" customWidth="1"/>
    <col min="6158" max="6158" width="12.6640625" style="3" customWidth="1"/>
    <col min="6159" max="6159" width="11.33203125" style="3" customWidth="1"/>
    <col min="6160" max="6160" width="11" style="3" customWidth="1"/>
    <col min="6161" max="6161" width="8.6640625" style="3" customWidth="1"/>
    <col min="6162" max="6162" width="8.83203125" style="3" customWidth="1"/>
    <col min="6163" max="6163" width="8.5" style="3" customWidth="1"/>
    <col min="6164" max="6164" width="8" style="3" customWidth="1"/>
    <col min="6165" max="6165" width="9.33203125" style="3" customWidth="1"/>
    <col min="6166" max="6166" width="8.33203125" style="3" customWidth="1"/>
    <col min="6167" max="6167" width="11" style="3" customWidth="1"/>
    <col min="6168" max="6168" width="10.6640625" style="3" customWidth="1"/>
    <col min="6169" max="6169" width="10.33203125" style="3" customWidth="1"/>
    <col min="6170" max="6172" width="8.6640625" style="3" customWidth="1"/>
    <col min="6173" max="6412" width="11.33203125" style="3"/>
    <col min="6413" max="6413" width="5.33203125" style="3" customWidth="1"/>
    <col min="6414" max="6414" width="12.6640625" style="3" customWidth="1"/>
    <col min="6415" max="6415" width="11.33203125" style="3" customWidth="1"/>
    <col min="6416" max="6416" width="11" style="3" customWidth="1"/>
    <col min="6417" max="6417" width="8.6640625" style="3" customWidth="1"/>
    <col min="6418" max="6418" width="8.83203125" style="3" customWidth="1"/>
    <col min="6419" max="6419" width="8.5" style="3" customWidth="1"/>
    <col min="6420" max="6420" width="8" style="3" customWidth="1"/>
    <col min="6421" max="6421" width="9.33203125" style="3" customWidth="1"/>
    <col min="6422" max="6422" width="8.33203125" style="3" customWidth="1"/>
    <col min="6423" max="6423" width="11" style="3" customWidth="1"/>
    <col min="6424" max="6424" width="10.6640625" style="3" customWidth="1"/>
    <col min="6425" max="6425" width="10.33203125" style="3" customWidth="1"/>
    <col min="6426" max="6428" width="8.6640625" style="3" customWidth="1"/>
    <col min="6429" max="6668" width="11.33203125" style="3"/>
    <col min="6669" max="6669" width="5.33203125" style="3" customWidth="1"/>
    <col min="6670" max="6670" width="12.6640625" style="3" customWidth="1"/>
    <col min="6671" max="6671" width="11.33203125" style="3" customWidth="1"/>
    <col min="6672" max="6672" width="11" style="3" customWidth="1"/>
    <col min="6673" max="6673" width="8.6640625" style="3" customWidth="1"/>
    <col min="6674" max="6674" width="8.83203125" style="3" customWidth="1"/>
    <col min="6675" max="6675" width="8.5" style="3" customWidth="1"/>
    <col min="6676" max="6676" width="8" style="3" customWidth="1"/>
    <col min="6677" max="6677" width="9.33203125" style="3" customWidth="1"/>
    <col min="6678" max="6678" width="8.33203125" style="3" customWidth="1"/>
    <col min="6679" max="6679" width="11" style="3" customWidth="1"/>
    <col min="6680" max="6680" width="10.6640625" style="3" customWidth="1"/>
    <col min="6681" max="6681" width="10.33203125" style="3" customWidth="1"/>
    <col min="6682" max="6684" width="8.6640625" style="3" customWidth="1"/>
    <col min="6685" max="6924" width="11.33203125" style="3"/>
    <col min="6925" max="6925" width="5.33203125" style="3" customWidth="1"/>
    <col min="6926" max="6926" width="12.6640625" style="3" customWidth="1"/>
    <col min="6927" max="6927" width="11.33203125" style="3" customWidth="1"/>
    <col min="6928" max="6928" width="11" style="3" customWidth="1"/>
    <col min="6929" max="6929" width="8.6640625" style="3" customWidth="1"/>
    <col min="6930" max="6930" width="8.83203125" style="3" customWidth="1"/>
    <col min="6931" max="6931" width="8.5" style="3" customWidth="1"/>
    <col min="6932" max="6932" width="8" style="3" customWidth="1"/>
    <col min="6933" max="6933" width="9.33203125" style="3" customWidth="1"/>
    <col min="6934" max="6934" width="8.33203125" style="3" customWidth="1"/>
    <col min="6935" max="6935" width="11" style="3" customWidth="1"/>
    <col min="6936" max="6936" width="10.6640625" style="3" customWidth="1"/>
    <col min="6937" max="6937" width="10.33203125" style="3" customWidth="1"/>
    <col min="6938" max="6940" width="8.6640625" style="3" customWidth="1"/>
    <col min="6941" max="7180" width="11.33203125" style="3"/>
    <col min="7181" max="7181" width="5.33203125" style="3" customWidth="1"/>
    <col min="7182" max="7182" width="12.6640625" style="3" customWidth="1"/>
    <col min="7183" max="7183" width="11.33203125" style="3" customWidth="1"/>
    <col min="7184" max="7184" width="11" style="3" customWidth="1"/>
    <col min="7185" max="7185" width="8.6640625" style="3" customWidth="1"/>
    <col min="7186" max="7186" width="8.83203125" style="3" customWidth="1"/>
    <col min="7187" max="7187" width="8.5" style="3" customWidth="1"/>
    <col min="7188" max="7188" width="8" style="3" customWidth="1"/>
    <col min="7189" max="7189" width="9.33203125" style="3" customWidth="1"/>
    <col min="7190" max="7190" width="8.33203125" style="3" customWidth="1"/>
    <col min="7191" max="7191" width="11" style="3" customWidth="1"/>
    <col min="7192" max="7192" width="10.6640625" style="3" customWidth="1"/>
    <col min="7193" max="7193" width="10.33203125" style="3" customWidth="1"/>
    <col min="7194" max="7196" width="8.6640625" style="3" customWidth="1"/>
    <col min="7197" max="7436" width="11.33203125" style="3"/>
    <col min="7437" max="7437" width="5.33203125" style="3" customWidth="1"/>
    <col min="7438" max="7438" width="12.6640625" style="3" customWidth="1"/>
    <col min="7439" max="7439" width="11.33203125" style="3" customWidth="1"/>
    <col min="7440" max="7440" width="11" style="3" customWidth="1"/>
    <col min="7441" max="7441" width="8.6640625" style="3" customWidth="1"/>
    <col min="7442" max="7442" width="8.83203125" style="3" customWidth="1"/>
    <col min="7443" max="7443" width="8.5" style="3" customWidth="1"/>
    <col min="7444" max="7444" width="8" style="3" customWidth="1"/>
    <col min="7445" max="7445" width="9.33203125" style="3" customWidth="1"/>
    <col min="7446" max="7446" width="8.33203125" style="3" customWidth="1"/>
    <col min="7447" max="7447" width="11" style="3" customWidth="1"/>
    <col min="7448" max="7448" width="10.6640625" style="3" customWidth="1"/>
    <col min="7449" max="7449" width="10.33203125" style="3" customWidth="1"/>
    <col min="7450" max="7452" width="8.6640625" style="3" customWidth="1"/>
    <col min="7453" max="7692" width="11.33203125" style="3"/>
    <col min="7693" max="7693" width="5.33203125" style="3" customWidth="1"/>
    <col min="7694" max="7694" width="12.6640625" style="3" customWidth="1"/>
    <col min="7695" max="7695" width="11.33203125" style="3" customWidth="1"/>
    <col min="7696" max="7696" width="11" style="3" customWidth="1"/>
    <col min="7697" max="7697" width="8.6640625" style="3" customWidth="1"/>
    <col min="7698" max="7698" width="8.83203125" style="3" customWidth="1"/>
    <col min="7699" max="7699" width="8.5" style="3" customWidth="1"/>
    <col min="7700" max="7700" width="8" style="3" customWidth="1"/>
    <col min="7701" max="7701" width="9.33203125" style="3" customWidth="1"/>
    <col min="7702" max="7702" width="8.33203125" style="3" customWidth="1"/>
    <col min="7703" max="7703" width="11" style="3" customWidth="1"/>
    <col min="7704" max="7704" width="10.6640625" style="3" customWidth="1"/>
    <col min="7705" max="7705" width="10.33203125" style="3" customWidth="1"/>
    <col min="7706" max="7708" width="8.6640625" style="3" customWidth="1"/>
    <col min="7709" max="7948" width="11.33203125" style="3"/>
    <col min="7949" max="7949" width="5.33203125" style="3" customWidth="1"/>
    <col min="7950" max="7950" width="12.6640625" style="3" customWidth="1"/>
    <col min="7951" max="7951" width="11.33203125" style="3" customWidth="1"/>
    <col min="7952" max="7952" width="11" style="3" customWidth="1"/>
    <col min="7953" max="7953" width="8.6640625" style="3" customWidth="1"/>
    <col min="7954" max="7954" width="8.83203125" style="3" customWidth="1"/>
    <col min="7955" max="7955" width="8.5" style="3" customWidth="1"/>
    <col min="7956" max="7956" width="8" style="3" customWidth="1"/>
    <col min="7957" max="7957" width="9.33203125" style="3" customWidth="1"/>
    <col min="7958" max="7958" width="8.33203125" style="3" customWidth="1"/>
    <col min="7959" max="7959" width="11" style="3" customWidth="1"/>
    <col min="7960" max="7960" width="10.6640625" style="3" customWidth="1"/>
    <col min="7961" max="7961" width="10.33203125" style="3" customWidth="1"/>
    <col min="7962" max="7964" width="8.6640625" style="3" customWidth="1"/>
    <col min="7965" max="8204" width="11.33203125" style="3"/>
    <col min="8205" max="8205" width="5.33203125" style="3" customWidth="1"/>
    <col min="8206" max="8206" width="12.6640625" style="3" customWidth="1"/>
    <col min="8207" max="8207" width="11.33203125" style="3" customWidth="1"/>
    <col min="8208" max="8208" width="11" style="3" customWidth="1"/>
    <col min="8209" max="8209" width="8.6640625" style="3" customWidth="1"/>
    <col min="8210" max="8210" width="8.83203125" style="3" customWidth="1"/>
    <col min="8211" max="8211" width="8.5" style="3" customWidth="1"/>
    <col min="8212" max="8212" width="8" style="3" customWidth="1"/>
    <col min="8213" max="8213" width="9.33203125" style="3" customWidth="1"/>
    <col min="8214" max="8214" width="8.33203125" style="3" customWidth="1"/>
    <col min="8215" max="8215" width="11" style="3" customWidth="1"/>
    <col min="8216" max="8216" width="10.6640625" style="3" customWidth="1"/>
    <col min="8217" max="8217" width="10.33203125" style="3" customWidth="1"/>
    <col min="8218" max="8220" width="8.6640625" style="3" customWidth="1"/>
    <col min="8221" max="8460" width="11.33203125" style="3"/>
    <col min="8461" max="8461" width="5.33203125" style="3" customWidth="1"/>
    <col min="8462" max="8462" width="12.6640625" style="3" customWidth="1"/>
    <col min="8463" max="8463" width="11.33203125" style="3" customWidth="1"/>
    <col min="8464" max="8464" width="11" style="3" customWidth="1"/>
    <col min="8465" max="8465" width="8.6640625" style="3" customWidth="1"/>
    <col min="8466" max="8466" width="8.83203125" style="3" customWidth="1"/>
    <col min="8467" max="8467" width="8.5" style="3" customWidth="1"/>
    <col min="8468" max="8468" width="8" style="3" customWidth="1"/>
    <col min="8469" max="8469" width="9.33203125" style="3" customWidth="1"/>
    <col min="8470" max="8470" width="8.33203125" style="3" customWidth="1"/>
    <col min="8471" max="8471" width="11" style="3" customWidth="1"/>
    <col min="8472" max="8472" width="10.6640625" style="3" customWidth="1"/>
    <col min="8473" max="8473" width="10.33203125" style="3" customWidth="1"/>
    <col min="8474" max="8476" width="8.6640625" style="3" customWidth="1"/>
    <col min="8477" max="8716" width="11.33203125" style="3"/>
    <col min="8717" max="8717" width="5.33203125" style="3" customWidth="1"/>
    <col min="8718" max="8718" width="12.6640625" style="3" customWidth="1"/>
    <col min="8719" max="8719" width="11.33203125" style="3" customWidth="1"/>
    <col min="8720" max="8720" width="11" style="3" customWidth="1"/>
    <col min="8721" max="8721" width="8.6640625" style="3" customWidth="1"/>
    <col min="8722" max="8722" width="8.83203125" style="3" customWidth="1"/>
    <col min="8723" max="8723" width="8.5" style="3" customWidth="1"/>
    <col min="8724" max="8724" width="8" style="3" customWidth="1"/>
    <col min="8725" max="8725" width="9.33203125" style="3" customWidth="1"/>
    <col min="8726" max="8726" width="8.33203125" style="3" customWidth="1"/>
    <col min="8727" max="8727" width="11" style="3" customWidth="1"/>
    <col min="8728" max="8728" width="10.6640625" style="3" customWidth="1"/>
    <col min="8729" max="8729" width="10.33203125" style="3" customWidth="1"/>
    <col min="8730" max="8732" width="8.6640625" style="3" customWidth="1"/>
    <col min="8733" max="8972" width="11.33203125" style="3"/>
    <col min="8973" max="8973" width="5.33203125" style="3" customWidth="1"/>
    <col min="8974" max="8974" width="12.6640625" style="3" customWidth="1"/>
    <col min="8975" max="8975" width="11.33203125" style="3" customWidth="1"/>
    <col min="8976" max="8976" width="11" style="3" customWidth="1"/>
    <col min="8977" max="8977" width="8.6640625" style="3" customWidth="1"/>
    <col min="8978" max="8978" width="8.83203125" style="3" customWidth="1"/>
    <col min="8979" max="8979" width="8.5" style="3" customWidth="1"/>
    <col min="8980" max="8980" width="8" style="3" customWidth="1"/>
    <col min="8981" max="8981" width="9.33203125" style="3" customWidth="1"/>
    <col min="8982" max="8982" width="8.33203125" style="3" customWidth="1"/>
    <col min="8983" max="8983" width="11" style="3" customWidth="1"/>
    <col min="8984" max="8984" width="10.6640625" style="3" customWidth="1"/>
    <col min="8985" max="8985" width="10.33203125" style="3" customWidth="1"/>
    <col min="8986" max="8988" width="8.6640625" style="3" customWidth="1"/>
    <col min="8989" max="9228" width="11.33203125" style="3"/>
    <col min="9229" max="9229" width="5.33203125" style="3" customWidth="1"/>
    <col min="9230" max="9230" width="12.6640625" style="3" customWidth="1"/>
    <col min="9231" max="9231" width="11.33203125" style="3" customWidth="1"/>
    <col min="9232" max="9232" width="11" style="3" customWidth="1"/>
    <col min="9233" max="9233" width="8.6640625" style="3" customWidth="1"/>
    <col min="9234" max="9234" width="8.83203125" style="3" customWidth="1"/>
    <col min="9235" max="9235" width="8.5" style="3" customWidth="1"/>
    <col min="9236" max="9236" width="8" style="3" customWidth="1"/>
    <col min="9237" max="9237" width="9.33203125" style="3" customWidth="1"/>
    <col min="9238" max="9238" width="8.33203125" style="3" customWidth="1"/>
    <col min="9239" max="9239" width="11" style="3" customWidth="1"/>
    <col min="9240" max="9240" width="10.6640625" style="3" customWidth="1"/>
    <col min="9241" max="9241" width="10.33203125" style="3" customWidth="1"/>
    <col min="9242" max="9244" width="8.6640625" style="3" customWidth="1"/>
    <col min="9245" max="9484" width="11.33203125" style="3"/>
    <col min="9485" max="9485" width="5.33203125" style="3" customWidth="1"/>
    <col min="9486" max="9486" width="12.6640625" style="3" customWidth="1"/>
    <col min="9487" max="9487" width="11.33203125" style="3" customWidth="1"/>
    <col min="9488" max="9488" width="11" style="3" customWidth="1"/>
    <col min="9489" max="9489" width="8.6640625" style="3" customWidth="1"/>
    <col min="9490" max="9490" width="8.83203125" style="3" customWidth="1"/>
    <col min="9491" max="9491" width="8.5" style="3" customWidth="1"/>
    <col min="9492" max="9492" width="8" style="3" customWidth="1"/>
    <col min="9493" max="9493" width="9.33203125" style="3" customWidth="1"/>
    <col min="9494" max="9494" width="8.33203125" style="3" customWidth="1"/>
    <col min="9495" max="9495" width="11" style="3" customWidth="1"/>
    <col min="9496" max="9496" width="10.6640625" style="3" customWidth="1"/>
    <col min="9497" max="9497" width="10.33203125" style="3" customWidth="1"/>
    <col min="9498" max="9500" width="8.6640625" style="3" customWidth="1"/>
    <col min="9501" max="9740" width="11.33203125" style="3"/>
    <col min="9741" max="9741" width="5.33203125" style="3" customWidth="1"/>
    <col min="9742" max="9742" width="12.6640625" style="3" customWidth="1"/>
    <col min="9743" max="9743" width="11.33203125" style="3" customWidth="1"/>
    <col min="9744" max="9744" width="11" style="3" customWidth="1"/>
    <col min="9745" max="9745" width="8.6640625" style="3" customWidth="1"/>
    <col min="9746" max="9746" width="8.83203125" style="3" customWidth="1"/>
    <col min="9747" max="9747" width="8.5" style="3" customWidth="1"/>
    <col min="9748" max="9748" width="8" style="3" customWidth="1"/>
    <col min="9749" max="9749" width="9.33203125" style="3" customWidth="1"/>
    <col min="9750" max="9750" width="8.33203125" style="3" customWidth="1"/>
    <col min="9751" max="9751" width="11" style="3" customWidth="1"/>
    <col min="9752" max="9752" width="10.6640625" style="3" customWidth="1"/>
    <col min="9753" max="9753" width="10.33203125" style="3" customWidth="1"/>
    <col min="9754" max="9756" width="8.6640625" style="3" customWidth="1"/>
    <col min="9757" max="9996" width="11.33203125" style="3"/>
    <col min="9997" max="9997" width="5.33203125" style="3" customWidth="1"/>
    <col min="9998" max="9998" width="12.6640625" style="3" customWidth="1"/>
    <col min="9999" max="9999" width="11.33203125" style="3" customWidth="1"/>
    <col min="10000" max="10000" width="11" style="3" customWidth="1"/>
    <col min="10001" max="10001" width="8.6640625" style="3" customWidth="1"/>
    <col min="10002" max="10002" width="8.83203125" style="3" customWidth="1"/>
    <col min="10003" max="10003" width="8.5" style="3" customWidth="1"/>
    <col min="10004" max="10004" width="8" style="3" customWidth="1"/>
    <col min="10005" max="10005" width="9.33203125" style="3" customWidth="1"/>
    <col min="10006" max="10006" width="8.33203125" style="3" customWidth="1"/>
    <col min="10007" max="10007" width="11" style="3" customWidth="1"/>
    <col min="10008" max="10008" width="10.6640625" style="3" customWidth="1"/>
    <col min="10009" max="10009" width="10.33203125" style="3" customWidth="1"/>
    <col min="10010" max="10012" width="8.6640625" style="3" customWidth="1"/>
    <col min="10013" max="10252" width="11.33203125" style="3"/>
    <col min="10253" max="10253" width="5.33203125" style="3" customWidth="1"/>
    <col min="10254" max="10254" width="12.6640625" style="3" customWidth="1"/>
    <col min="10255" max="10255" width="11.33203125" style="3" customWidth="1"/>
    <col min="10256" max="10256" width="11" style="3" customWidth="1"/>
    <col min="10257" max="10257" width="8.6640625" style="3" customWidth="1"/>
    <col min="10258" max="10258" width="8.83203125" style="3" customWidth="1"/>
    <col min="10259" max="10259" width="8.5" style="3" customWidth="1"/>
    <col min="10260" max="10260" width="8" style="3" customWidth="1"/>
    <col min="10261" max="10261" width="9.33203125" style="3" customWidth="1"/>
    <col min="10262" max="10262" width="8.33203125" style="3" customWidth="1"/>
    <col min="10263" max="10263" width="11" style="3" customWidth="1"/>
    <col min="10264" max="10264" width="10.6640625" style="3" customWidth="1"/>
    <col min="10265" max="10265" width="10.33203125" style="3" customWidth="1"/>
    <col min="10266" max="10268" width="8.6640625" style="3" customWidth="1"/>
    <col min="10269" max="10508" width="11.33203125" style="3"/>
    <col min="10509" max="10509" width="5.33203125" style="3" customWidth="1"/>
    <col min="10510" max="10510" width="12.6640625" style="3" customWidth="1"/>
    <col min="10511" max="10511" width="11.33203125" style="3" customWidth="1"/>
    <col min="10512" max="10512" width="11" style="3" customWidth="1"/>
    <col min="10513" max="10513" width="8.6640625" style="3" customWidth="1"/>
    <col min="10514" max="10514" width="8.83203125" style="3" customWidth="1"/>
    <col min="10515" max="10515" width="8.5" style="3" customWidth="1"/>
    <col min="10516" max="10516" width="8" style="3" customWidth="1"/>
    <col min="10517" max="10517" width="9.33203125" style="3" customWidth="1"/>
    <col min="10518" max="10518" width="8.33203125" style="3" customWidth="1"/>
    <col min="10519" max="10519" width="11" style="3" customWidth="1"/>
    <col min="10520" max="10520" width="10.6640625" style="3" customWidth="1"/>
    <col min="10521" max="10521" width="10.33203125" style="3" customWidth="1"/>
    <col min="10522" max="10524" width="8.6640625" style="3" customWidth="1"/>
    <col min="10525" max="10764" width="11.33203125" style="3"/>
    <col min="10765" max="10765" width="5.33203125" style="3" customWidth="1"/>
    <col min="10766" max="10766" width="12.6640625" style="3" customWidth="1"/>
    <col min="10767" max="10767" width="11.33203125" style="3" customWidth="1"/>
    <col min="10768" max="10768" width="11" style="3" customWidth="1"/>
    <col min="10769" max="10769" width="8.6640625" style="3" customWidth="1"/>
    <col min="10770" max="10770" width="8.83203125" style="3" customWidth="1"/>
    <col min="10771" max="10771" width="8.5" style="3" customWidth="1"/>
    <col min="10772" max="10772" width="8" style="3" customWidth="1"/>
    <col min="10773" max="10773" width="9.33203125" style="3" customWidth="1"/>
    <col min="10774" max="10774" width="8.33203125" style="3" customWidth="1"/>
    <col min="10775" max="10775" width="11" style="3" customWidth="1"/>
    <col min="10776" max="10776" width="10.6640625" style="3" customWidth="1"/>
    <col min="10777" max="10777" width="10.33203125" style="3" customWidth="1"/>
    <col min="10778" max="10780" width="8.6640625" style="3" customWidth="1"/>
    <col min="10781" max="11020" width="11.33203125" style="3"/>
    <col min="11021" max="11021" width="5.33203125" style="3" customWidth="1"/>
    <col min="11022" max="11022" width="12.6640625" style="3" customWidth="1"/>
    <col min="11023" max="11023" width="11.33203125" style="3" customWidth="1"/>
    <col min="11024" max="11024" width="11" style="3" customWidth="1"/>
    <col min="11025" max="11025" width="8.6640625" style="3" customWidth="1"/>
    <col min="11026" max="11026" width="8.83203125" style="3" customWidth="1"/>
    <col min="11027" max="11027" width="8.5" style="3" customWidth="1"/>
    <col min="11028" max="11028" width="8" style="3" customWidth="1"/>
    <col min="11029" max="11029" width="9.33203125" style="3" customWidth="1"/>
    <col min="11030" max="11030" width="8.33203125" style="3" customWidth="1"/>
    <col min="11031" max="11031" width="11" style="3" customWidth="1"/>
    <col min="11032" max="11032" width="10.6640625" style="3" customWidth="1"/>
    <col min="11033" max="11033" width="10.33203125" style="3" customWidth="1"/>
    <col min="11034" max="11036" width="8.6640625" style="3" customWidth="1"/>
    <col min="11037" max="11276" width="11.33203125" style="3"/>
    <col min="11277" max="11277" width="5.33203125" style="3" customWidth="1"/>
    <col min="11278" max="11278" width="12.6640625" style="3" customWidth="1"/>
    <col min="11279" max="11279" width="11.33203125" style="3" customWidth="1"/>
    <col min="11280" max="11280" width="11" style="3" customWidth="1"/>
    <col min="11281" max="11281" width="8.6640625" style="3" customWidth="1"/>
    <col min="11282" max="11282" width="8.83203125" style="3" customWidth="1"/>
    <col min="11283" max="11283" width="8.5" style="3" customWidth="1"/>
    <col min="11284" max="11284" width="8" style="3" customWidth="1"/>
    <col min="11285" max="11285" width="9.33203125" style="3" customWidth="1"/>
    <col min="11286" max="11286" width="8.33203125" style="3" customWidth="1"/>
    <col min="11287" max="11287" width="11" style="3" customWidth="1"/>
    <col min="11288" max="11288" width="10.6640625" style="3" customWidth="1"/>
    <col min="11289" max="11289" width="10.33203125" style="3" customWidth="1"/>
    <col min="11290" max="11292" width="8.6640625" style="3" customWidth="1"/>
    <col min="11293" max="11532" width="11.33203125" style="3"/>
    <col min="11533" max="11533" width="5.33203125" style="3" customWidth="1"/>
    <col min="11534" max="11534" width="12.6640625" style="3" customWidth="1"/>
    <col min="11535" max="11535" width="11.33203125" style="3" customWidth="1"/>
    <col min="11536" max="11536" width="11" style="3" customWidth="1"/>
    <col min="11537" max="11537" width="8.6640625" style="3" customWidth="1"/>
    <col min="11538" max="11538" width="8.83203125" style="3" customWidth="1"/>
    <col min="11539" max="11539" width="8.5" style="3" customWidth="1"/>
    <col min="11540" max="11540" width="8" style="3" customWidth="1"/>
    <col min="11541" max="11541" width="9.33203125" style="3" customWidth="1"/>
    <col min="11542" max="11542" width="8.33203125" style="3" customWidth="1"/>
    <col min="11543" max="11543" width="11" style="3" customWidth="1"/>
    <col min="11544" max="11544" width="10.6640625" style="3" customWidth="1"/>
    <col min="11545" max="11545" width="10.33203125" style="3" customWidth="1"/>
    <col min="11546" max="11548" width="8.6640625" style="3" customWidth="1"/>
    <col min="11549" max="11788" width="11.33203125" style="3"/>
    <col min="11789" max="11789" width="5.33203125" style="3" customWidth="1"/>
    <col min="11790" max="11790" width="12.6640625" style="3" customWidth="1"/>
    <col min="11791" max="11791" width="11.33203125" style="3" customWidth="1"/>
    <col min="11792" max="11792" width="11" style="3" customWidth="1"/>
    <col min="11793" max="11793" width="8.6640625" style="3" customWidth="1"/>
    <col min="11794" max="11794" width="8.83203125" style="3" customWidth="1"/>
    <col min="11795" max="11795" width="8.5" style="3" customWidth="1"/>
    <col min="11796" max="11796" width="8" style="3" customWidth="1"/>
    <col min="11797" max="11797" width="9.33203125" style="3" customWidth="1"/>
    <col min="11798" max="11798" width="8.33203125" style="3" customWidth="1"/>
    <col min="11799" max="11799" width="11" style="3" customWidth="1"/>
    <col min="11800" max="11800" width="10.6640625" style="3" customWidth="1"/>
    <col min="11801" max="11801" width="10.33203125" style="3" customWidth="1"/>
    <col min="11802" max="11804" width="8.6640625" style="3" customWidth="1"/>
    <col min="11805" max="12044" width="11.33203125" style="3"/>
    <col min="12045" max="12045" width="5.33203125" style="3" customWidth="1"/>
    <col min="12046" max="12046" width="12.6640625" style="3" customWidth="1"/>
    <col min="12047" max="12047" width="11.33203125" style="3" customWidth="1"/>
    <col min="12048" max="12048" width="11" style="3" customWidth="1"/>
    <col min="12049" max="12049" width="8.6640625" style="3" customWidth="1"/>
    <col min="12050" max="12050" width="8.83203125" style="3" customWidth="1"/>
    <col min="12051" max="12051" width="8.5" style="3" customWidth="1"/>
    <col min="12052" max="12052" width="8" style="3" customWidth="1"/>
    <col min="12053" max="12053" width="9.33203125" style="3" customWidth="1"/>
    <col min="12054" max="12054" width="8.33203125" style="3" customWidth="1"/>
    <col min="12055" max="12055" width="11" style="3" customWidth="1"/>
    <col min="12056" max="12056" width="10.6640625" style="3" customWidth="1"/>
    <col min="12057" max="12057" width="10.33203125" style="3" customWidth="1"/>
    <col min="12058" max="12060" width="8.6640625" style="3" customWidth="1"/>
    <col min="12061" max="12300" width="11.33203125" style="3"/>
    <col min="12301" max="12301" width="5.33203125" style="3" customWidth="1"/>
    <col min="12302" max="12302" width="12.6640625" style="3" customWidth="1"/>
    <col min="12303" max="12303" width="11.33203125" style="3" customWidth="1"/>
    <col min="12304" max="12304" width="11" style="3" customWidth="1"/>
    <col min="12305" max="12305" width="8.6640625" style="3" customWidth="1"/>
    <col min="12306" max="12306" width="8.83203125" style="3" customWidth="1"/>
    <col min="12307" max="12307" width="8.5" style="3" customWidth="1"/>
    <col min="12308" max="12308" width="8" style="3" customWidth="1"/>
    <col min="12309" max="12309" width="9.33203125" style="3" customWidth="1"/>
    <col min="12310" max="12310" width="8.33203125" style="3" customWidth="1"/>
    <col min="12311" max="12311" width="11" style="3" customWidth="1"/>
    <col min="12312" max="12312" width="10.6640625" style="3" customWidth="1"/>
    <col min="12313" max="12313" width="10.33203125" style="3" customWidth="1"/>
    <col min="12314" max="12316" width="8.6640625" style="3" customWidth="1"/>
    <col min="12317" max="12556" width="11.33203125" style="3"/>
    <col min="12557" max="12557" width="5.33203125" style="3" customWidth="1"/>
    <col min="12558" max="12558" width="12.6640625" style="3" customWidth="1"/>
    <col min="12559" max="12559" width="11.33203125" style="3" customWidth="1"/>
    <col min="12560" max="12560" width="11" style="3" customWidth="1"/>
    <col min="12561" max="12561" width="8.6640625" style="3" customWidth="1"/>
    <col min="12562" max="12562" width="8.83203125" style="3" customWidth="1"/>
    <col min="12563" max="12563" width="8.5" style="3" customWidth="1"/>
    <col min="12564" max="12564" width="8" style="3" customWidth="1"/>
    <col min="12565" max="12565" width="9.33203125" style="3" customWidth="1"/>
    <col min="12566" max="12566" width="8.33203125" style="3" customWidth="1"/>
    <col min="12567" max="12567" width="11" style="3" customWidth="1"/>
    <col min="12568" max="12568" width="10.6640625" style="3" customWidth="1"/>
    <col min="12569" max="12569" width="10.33203125" style="3" customWidth="1"/>
    <col min="12570" max="12572" width="8.6640625" style="3" customWidth="1"/>
    <col min="12573" max="12812" width="11.33203125" style="3"/>
    <col min="12813" max="12813" width="5.33203125" style="3" customWidth="1"/>
    <col min="12814" max="12814" width="12.6640625" style="3" customWidth="1"/>
    <col min="12815" max="12815" width="11.33203125" style="3" customWidth="1"/>
    <col min="12816" max="12816" width="11" style="3" customWidth="1"/>
    <col min="12817" max="12817" width="8.6640625" style="3" customWidth="1"/>
    <col min="12818" max="12818" width="8.83203125" style="3" customWidth="1"/>
    <col min="12819" max="12819" width="8.5" style="3" customWidth="1"/>
    <col min="12820" max="12820" width="8" style="3" customWidth="1"/>
    <col min="12821" max="12821" width="9.33203125" style="3" customWidth="1"/>
    <col min="12822" max="12822" width="8.33203125" style="3" customWidth="1"/>
    <col min="12823" max="12823" width="11" style="3" customWidth="1"/>
    <col min="12824" max="12824" width="10.6640625" style="3" customWidth="1"/>
    <col min="12825" max="12825" width="10.33203125" style="3" customWidth="1"/>
    <col min="12826" max="12828" width="8.6640625" style="3" customWidth="1"/>
    <col min="12829" max="13068" width="11.33203125" style="3"/>
    <col min="13069" max="13069" width="5.33203125" style="3" customWidth="1"/>
    <col min="13070" max="13070" width="12.6640625" style="3" customWidth="1"/>
    <col min="13071" max="13071" width="11.33203125" style="3" customWidth="1"/>
    <col min="13072" max="13072" width="11" style="3" customWidth="1"/>
    <col min="13073" max="13073" width="8.6640625" style="3" customWidth="1"/>
    <col min="13074" max="13074" width="8.83203125" style="3" customWidth="1"/>
    <col min="13075" max="13075" width="8.5" style="3" customWidth="1"/>
    <col min="13076" max="13076" width="8" style="3" customWidth="1"/>
    <col min="13077" max="13077" width="9.33203125" style="3" customWidth="1"/>
    <col min="13078" max="13078" width="8.33203125" style="3" customWidth="1"/>
    <col min="13079" max="13079" width="11" style="3" customWidth="1"/>
    <col min="13080" max="13080" width="10.6640625" style="3" customWidth="1"/>
    <col min="13081" max="13081" width="10.33203125" style="3" customWidth="1"/>
    <col min="13082" max="13084" width="8.6640625" style="3" customWidth="1"/>
    <col min="13085" max="13324" width="11.33203125" style="3"/>
    <col min="13325" max="13325" width="5.33203125" style="3" customWidth="1"/>
    <col min="13326" max="13326" width="12.6640625" style="3" customWidth="1"/>
    <col min="13327" max="13327" width="11.33203125" style="3" customWidth="1"/>
    <col min="13328" max="13328" width="11" style="3" customWidth="1"/>
    <col min="13329" max="13329" width="8.6640625" style="3" customWidth="1"/>
    <col min="13330" max="13330" width="8.83203125" style="3" customWidth="1"/>
    <col min="13331" max="13331" width="8.5" style="3" customWidth="1"/>
    <col min="13332" max="13332" width="8" style="3" customWidth="1"/>
    <col min="13333" max="13333" width="9.33203125" style="3" customWidth="1"/>
    <col min="13334" max="13334" width="8.33203125" style="3" customWidth="1"/>
    <col min="13335" max="13335" width="11" style="3" customWidth="1"/>
    <col min="13336" max="13336" width="10.6640625" style="3" customWidth="1"/>
    <col min="13337" max="13337" width="10.33203125" style="3" customWidth="1"/>
    <col min="13338" max="13340" width="8.6640625" style="3" customWidth="1"/>
    <col min="13341" max="13580" width="11.33203125" style="3"/>
    <col min="13581" max="13581" width="5.33203125" style="3" customWidth="1"/>
    <col min="13582" max="13582" width="12.6640625" style="3" customWidth="1"/>
    <col min="13583" max="13583" width="11.33203125" style="3" customWidth="1"/>
    <col min="13584" max="13584" width="11" style="3" customWidth="1"/>
    <col min="13585" max="13585" width="8.6640625" style="3" customWidth="1"/>
    <col min="13586" max="13586" width="8.83203125" style="3" customWidth="1"/>
    <col min="13587" max="13587" width="8.5" style="3" customWidth="1"/>
    <col min="13588" max="13588" width="8" style="3" customWidth="1"/>
    <col min="13589" max="13589" width="9.33203125" style="3" customWidth="1"/>
    <col min="13590" max="13590" width="8.33203125" style="3" customWidth="1"/>
    <col min="13591" max="13591" width="11" style="3" customWidth="1"/>
    <col min="13592" max="13592" width="10.6640625" style="3" customWidth="1"/>
    <col min="13593" max="13593" width="10.33203125" style="3" customWidth="1"/>
    <col min="13594" max="13596" width="8.6640625" style="3" customWidth="1"/>
    <col min="13597" max="13836" width="11.33203125" style="3"/>
    <col min="13837" max="13837" width="5.33203125" style="3" customWidth="1"/>
    <col min="13838" max="13838" width="12.6640625" style="3" customWidth="1"/>
    <col min="13839" max="13839" width="11.33203125" style="3" customWidth="1"/>
    <col min="13840" max="13840" width="11" style="3" customWidth="1"/>
    <col min="13841" max="13841" width="8.6640625" style="3" customWidth="1"/>
    <col min="13842" max="13842" width="8.83203125" style="3" customWidth="1"/>
    <col min="13843" max="13843" width="8.5" style="3" customWidth="1"/>
    <col min="13844" max="13844" width="8" style="3" customWidth="1"/>
    <col min="13845" max="13845" width="9.33203125" style="3" customWidth="1"/>
    <col min="13846" max="13846" width="8.33203125" style="3" customWidth="1"/>
    <col min="13847" max="13847" width="11" style="3" customWidth="1"/>
    <col min="13848" max="13848" width="10.6640625" style="3" customWidth="1"/>
    <col min="13849" max="13849" width="10.33203125" style="3" customWidth="1"/>
    <col min="13850" max="13852" width="8.6640625" style="3" customWidth="1"/>
    <col min="13853" max="14092" width="11.33203125" style="3"/>
    <col min="14093" max="14093" width="5.33203125" style="3" customWidth="1"/>
    <col min="14094" max="14094" width="12.6640625" style="3" customWidth="1"/>
    <col min="14095" max="14095" width="11.33203125" style="3" customWidth="1"/>
    <col min="14096" max="14096" width="11" style="3" customWidth="1"/>
    <col min="14097" max="14097" width="8.6640625" style="3" customWidth="1"/>
    <col min="14098" max="14098" width="8.83203125" style="3" customWidth="1"/>
    <col min="14099" max="14099" width="8.5" style="3" customWidth="1"/>
    <col min="14100" max="14100" width="8" style="3" customWidth="1"/>
    <col min="14101" max="14101" width="9.33203125" style="3" customWidth="1"/>
    <col min="14102" max="14102" width="8.33203125" style="3" customWidth="1"/>
    <col min="14103" max="14103" width="11" style="3" customWidth="1"/>
    <col min="14104" max="14104" width="10.6640625" style="3" customWidth="1"/>
    <col min="14105" max="14105" width="10.33203125" style="3" customWidth="1"/>
    <col min="14106" max="14108" width="8.6640625" style="3" customWidth="1"/>
    <col min="14109" max="14348" width="11.33203125" style="3"/>
    <col min="14349" max="14349" width="5.33203125" style="3" customWidth="1"/>
    <col min="14350" max="14350" width="12.6640625" style="3" customWidth="1"/>
    <col min="14351" max="14351" width="11.33203125" style="3" customWidth="1"/>
    <col min="14352" max="14352" width="11" style="3" customWidth="1"/>
    <col min="14353" max="14353" width="8.6640625" style="3" customWidth="1"/>
    <col min="14354" max="14354" width="8.83203125" style="3" customWidth="1"/>
    <col min="14355" max="14355" width="8.5" style="3" customWidth="1"/>
    <col min="14356" max="14356" width="8" style="3" customWidth="1"/>
    <col min="14357" max="14357" width="9.33203125" style="3" customWidth="1"/>
    <col min="14358" max="14358" width="8.33203125" style="3" customWidth="1"/>
    <col min="14359" max="14359" width="11" style="3" customWidth="1"/>
    <col min="14360" max="14360" width="10.6640625" style="3" customWidth="1"/>
    <col min="14361" max="14361" width="10.33203125" style="3" customWidth="1"/>
    <col min="14362" max="14364" width="8.6640625" style="3" customWidth="1"/>
    <col min="14365" max="14604" width="11.33203125" style="3"/>
    <col min="14605" max="14605" width="5.33203125" style="3" customWidth="1"/>
    <col min="14606" max="14606" width="12.6640625" style="3" customWidth="1"/>
    <col min="14607" max="14607" width="11.33203125" style="3" customWidth="1"/>
    <col min="14608" max="14608" width="11" style="3" customWidth="1"/>
    <col min="14609" max="14609" width="8.6640625" style="3" customWidth="1"/>
    <col min="14610" max="14610" width="8.83203125" style="3" customWidth="1"/>
    <col min="14611" max="14611" width="8.5" style="3" customWidth="1"/>
    <col min="14612" max="14612" width="8" style="3" customWidth="1"/>
    <col min="14613" max="14613" width="9.33203125" style="3" customWidth="1"/>
    <col min="14614" max="14614" width="8.33203125" style="3" customWidth="1"/>
    <col min="14615" max="14615" width="11" style="3" customWidth="1"/>
    <col min="14616" max="14616" width="10.6640625" style="3" customWidth="1"/>
    <col min="14617" max="14617" width="10.33203125" style="3" customWidth="1"/>
    <col min="14618" max="14620" width="8.6640625" style="3" customWidth="1"/>
    <col min="14621" max="14860" width="11.33203125" style="3"/>
    <col min="14861" max="14861" width="5.33203125" style="3" customWidth="1"/>
    <col min="14862" max="14862" width="12.6640625" style="3" customWidth="1"/>
    <col min="14863" max="14863" width="11.33203125" style="3" customWidth="1"/>
    <col min="14864" max="14864" width="11" style="3" customWidth="1"/>
    <col min="14865" max="14865" width="8.6640625" style="3" customWidth="1"/>
    <col min="14866" max="14866" width="8.83203125" style="3" customWidth="1"/>
    <col min="14867" max="14867" width="8.5" style="3" customWidth="1"/>
    <col min="14868" max="14868" width="8" style="3" customWidth="1"/>
    <col min="14869" max="14869" width="9.33203125" style="3" customWidth="1"/>
    <col min="14870" max="14870" width="8.33203125" style="3" customWidth="1"/>
    <col min="14871" max="14871" width="11" style="3" customWidth="1"/>
    <col min="14872" max="14872" width="10.6640625" style="3" customWidth="1"/>
    <col min="14873" max="14873" width="10.33203125" style="3" customWidth="1"/>
    <col min="14874" max="14876" width="8.6640625" style="3" customWidth="1"/>
    <col min="14877" max="15116" width="11.33203125" style="3"/>
    <col min="15117" max="15117" width="5.33203125" style="3" customWidth="1"/>
    <col min="15118" max="15118" width="12.6640625" style="3" customWidth="1"/>
    <col min="15119" max="15119" width="11.33203125" style="3" customWidth="1"/>
    <col min="15120" max="15120" width="11" style="3" customWidth="1"/>
    <col min="15121" max="15121" width="8.6640625" style="3" customWidth="1"/>
    <col min="15122" max="15122" width="8.83203125" style="3" customWidth="1"/>
    <col min="15123" max="15123" width="8.5" style="3" customWidth="1"/>
    <col min="15124" max="15124" width="8" style="3" customWidth="1"/>
    <col min="15125" max="15125" width="9.33203125" style="3" customWidth="1"/>
    <col min="15126" max="15126" width="8.33203125" style="3" customWidth="1"/>
    <col min="15127" max="15127" width="11" style="3" customWidth="1"/>
    <col min="15128" max="15128" width="10.6640625" style="3" customWidth="1"/>
    <col min="15129" max="15129" width="10.33203125" style="3" customWidth="1"/>
    <col min="15130" max="15132" width="8.6640625" style="3" customWidth="1"/>
    <col min="15133" max="15372" width="11.33203125" style="3"/>
    <col min="15373" max="15373" width="5.33203125" style="3" customWidth="1"/>
    <col min="15374" max="15374" width="12.6640625" style="3" customWidth="1"/>
    <col min="15375" max="15375" width="11.33203125" style="3" customWidth="1"/>
    <col min="15376" max="15376" width="11" style="3" customWidth="1"/>
    <col min="15377" max="15377" width="8.6640625" style="3" customWidth="1"/>
    <col min="15378" max="15378" width="8.83203125" style="3" customWidth="1"/>
    <col min="15379" max="15379" width="8.5" style="3" customWidth="1"/>
    <col min="15380" max="15380" width="8" style="3" customWidth="1"/>
    <col min="15381" max="15381" width="9.33203125" style="3" customWidth="1"/>
    <col min="15382" max="15382" width="8.33203125" style="3" customWidth="1"/>
    <col min="15383" max="15383" width="11" style="3" customWidth="1"/>
    <col min="15384" max="15384" width="10.6640625" style="3" customWidth="1"/>
    <col min="15385" max="15385" width="10.33203125" style="3" customWidth="1"/>
    <col min="15386" max="15388" width="8.6640625" style="3" customWidth="1"/>
    <col min="15389" max="15628" width="11.33203125" style="3"/>
    <col min="15629" max="15629" width="5.33203125" style="3" customWidth="1"/>
    <col min="15630" max="15630" width="12.6640625" style="3" customWidth="1"/>
    <col min="15631" max="15631" width="11.33203125" style="3" customWidth="1"/>
    <col min="15632" max="15632" width="11" style="3" customWidth="1"/>
    <col min="15633" max="15633" width="8.6640625" style="3" customWidth="1"/>
    <col min="15634" max="15634" width="8.83203125" style="3" customWidth="1"/>
    <col min="15635" max="15635" width="8.5" style="3" customWidth="1"/>
    <col min="15636" max="15636" width="8" style="3" customWidth="1"/>
    <col min="15637" max="15637" width="9.33203125" style="3" customWidth="1"/>
    <col min="15638" max="15638" width="8.33203125" style="3" customWidth="1"/>
    <col min="15639" max="15639" width="11" style="3" customWidth="1"/>
    <col min="15640" max="15640" width="10.6640625" style="3" customWidth="1"/>
    <col min="15641" max="15641" width="10.33203125" style="3" customWidth="1"/>
    <col min="15642" max="15644" width="8.6640625" style="3" customWidth="1"/>
    <col min="15645" max="15884" width="11.33203125" style="3"/>
    <col min="15885" max="15885" width="5.33203125" style="3" customWidth="1"/>
    <col min="15886" max="15886" width="12.6640625" style="3" customWidth="1"/>
    <col min="15887" max="15887" width="11.33203125" style="3" customWidth="1"/>
    <col min="15888" max="15888" width="11" style="3" customWidth="1"/>
    <col min="15889" max="15889" width="8.6640625" style="3" customWidth="1"/>
    <col min="15890" max="15890" width="8.83203125" style="3" customWidth="1"/>
    <col min="15891" max="15891" width="8.5" style="3" customWidth="1"/>
    <col min="15892" max="15892" width="8" style="3" customWidth="1"/>
    <col min="15893" max="15893" width="9.33203125" style="3" customWidth="1"/>
    <col min="15894" max="15894" width="8.33203125" style="3" customWidth="1"/>
    <col min="15895" max="15895" width="11" style="3" customWidth="1"/>
    <col min="15896" max="15896" width="10.6640625" style="3" customWidth="1"/>
    <col min="15897" max="15897" width="10.33203125" style="3" customWidth="1"/>
    <col min="15898" max="15900" width="8.6640625" style="3" customWidth="1"/>
    <col min="15901" max="16140" width="11.33203125" style="3"/>
    <col min="16141" max="16141" width="5.33203125" style="3" customWidth="1"/>
    <col min="16142" max="16142" width="12.6640625" style="3" customWidth="1"/>
    <col min="16143" max="16143" width="11.33203125" style="3" customWidth="1"/>
    <col min="16144" max="16144" width="11" style="3" customWidth="1"/>
    <col min="16145" max="16145" width="8.6640625" style="3" customWidth="1"/>
    <col min="16146" max="16146" width="8.83203125" style="3" customWidth="1"/>
    <col min="16147" max="16147" width="8.5" style="3" customWidth="1"/>
    <col min="16148" max="16148" width="8" style="3" customWidth="1"/>
    <col min="16149" max="16149" width="9.33203125" style="3" customWidth="1"/>
    <col min="16150" max="16150" width="8.33203125" style="3" customWidth="1"/>
    <col min="16151" max="16151" width="11" style="3" customWidth="1"/>
    <col min="16152" max="16152" width="10.6640625" style="3" customWidth="1"/>
    <col min="16153" max="16153" width="10.33203125" style="3" customWidth="1"/>
    <col min="16154" max="16156" width="8.6640625" style="3" customWidth="1"/>
    <col min="16157" max="16384" width="11.33203125" style="3"/>
  </cols>
  <sheetData>
    <row r="1" spans="1:47" s="143" customFormat="1" ht="13.5" customHeight="1">
      <c r="A1" s="400"/>
      <c r="B1" s="400"/>
      <c r="C1" s="400"/>
      <c r="D1" s="410" t="s">
        <v>1</v>
      </c>
      <c r="E1" s="411"/>
      <c r="F1" s="411"/>
      <c r="G1" s="411"/>
      <c r="H1" s="411"/>
      <c r="I1" s="411"/>
      <c r="J1" s="411"/>
      <c r="K1" s="411"/>
      <c r="L1" s="411"/>
      <c r="M1" s="411"/>
      <c r="N1" s="411"/>
      <c r="O1" s="411"/>
      <c r="P1" s="412"/>
      <c r="Q1" s="141" t="s">
        <v>2</v>
      </c>
      <c r="R1" s="142" t="s">
        <v>35</v>
      </c>
      <c r="S1" s="203"/>
      <c r="T1" s="203"/>
      <c r="U1" s="204"/>
      <c r="V1" s="205"/>
    </row>
    <row r="2" spans="1:47" s="143" customFormat="1" ht="13.5" customHeight="1">
      <c r="A2" s="400"/>
      <c r="B2" s="400"/>
      <c r="C2" s="400"/>
      <c r="D2" s="401" t="s">
        <v>34</v>
      </c>
      <c r="E2" s="402"/>
      <c r="F2" s="402"/>
      <c r="G2" s="402"/>
      <c r="H2" s="402"/>
      <c r="I2" s="402"/>
      <c r="J2" s="402"/>
      <c r="K2" s="402"/>
      <c r="L2" s="402"/>
      <c r="M2" s="402"/>
      <c r="N2" s="402"/>
      <c r="O2" s="402"/>
      <c r="P2" s="403"/>
      <c r="Q2" s="141" t="s">
        <v>3</v>
      </c>
      <c r="R2" s="144" t="s">
        <v>248</v>
      </c>
      <c r="S2" s="206"/>
      <c r="T2" s="206"/>
      <c r="U2" s="204"/>
      <c r="V2" s="207"/>
    </row>
    <row r="3" spans="1:47" s="143" customFormat="1" ht="13.5" customHeight="1">
      <c r="A3" s="400"/>
      <c r="B3" s="400"/>
      <c r="C3" s="400"/>
      <c r="D3" s="404"/>
      <c r="E3" s="405"/>
      <c r="F3" s="405"/>
      <c r="G3" s="405"/>
      <c r="H3" s="405"/>
      <c r="I3" s="405"/>
      <c r="J3" s="405"/>
      <c r="K3" s="405"/>
      <c r="L3" s="405"/>
      <c r="M3" s="405"/>
      <c r="N3" s="405"/>
      <c r="O3" s="405"/>
      <c r="P3" s="406"/>
      <c r="Q3" s="141" t="s">
        <v>4</v>
      </c>
      <c r="R3" s="145" t="s">
        <v>251</v>
      </c>
      <c r="S3" s="206"/>
      <c r="T3" s="206"/>
      <c r="U3" s="204"/>
      <c r="V3" s="208"/>
    </row>
    <row r="4" spans="1:47" s="143" customFormat="1" ht="13.5" customHeight="1">
      <c r="A4" s="400"/>
      <c r="B4" s="400"/>
      <c r="C4" s="400"/>
      <c r="D4" s="407"/>
      <c r="E4" s="408"/>
      <c r="F4" s="408"/>
      <c r="G4" s="408"/>
      <c r="H4" s="408"/>
      <c r="I4" s="408"/>
      <c r="J4" s="408"/>
      <c r="K4" s="408"/>
      <c r="L4" s="408"/>
      <c r="M4" s="408"/>
      <c r="N4" s="408"/>
      <c r="O4" s="408"/>
      <c r="P4" s="409"/>
      <c r="Q4" s="141" t="s">
        <v>5</v>
      </c>
      <c r="R4" s="146">
        <f>Datos!R4</f>
        <v>46147</v>
      </c>
      <c r="S4" s="206"/>
      <c r="T4" s="206"/>
      <c r="U4" s="204"/>
      <c r="V4" s="209"/>
    </row>
    <row r="5" spans="1:47" ht="6" customHeight="1">
      <c r="A5" s="1"/>
      <c r="B5" s="1"/>
      <c r="C5" s="1"/>
      <c r="D5" s="1"/>
      <c r="E5" s="2"/>
      <c r="F5" s="1"/>
      <c r="G5" s="1"/>
      <c r="H5" s="2"/>
      <c r="I5" s="2"/>
      <c r="J5" s="2"/>
      <c r="K5" s="2"/>
      <c r="L5" s="1"/>
      <c r="M5" s="1"/>
      <c r="N5" s="1"/>
      <c r="O5" s="2"/>
      <c r="P5" s="2"/>
      <c r="Q5" s="2"/>
      <c r="AH5" s="1"/>
      <c r="AI5" s="1"/>
      <c r="AJ5" s="1"/>
      <c r="AK5" s="1"/>
      <c r="AL5" s="1"/>
    </row>
    <row r="6" spans="1:47" ht="20.25" customHeight="1">
      <c r="A6" s="504" t="s">
        <v>212</v>
      </c>
      <c r="B6" s="504"/>
      <c r="C6" s="504"/>
      <c r="D6" s="504"/>
      <c r="E6" s="504"/>
      <c r="F6" s="504"/>
      <c r="G6" s="504"/>
      <c r="H6" s="504"/>
      <c r="I6" s="504"/>
      <c r="J6" s="504"/>
      <c r="K6" s="504"/>
      <c r="L6" s="504"/>
      <c r="M6" s="504"/>
      <c r="N6" s="504"/>
      <c r="O6" s="504"/>
      <c r="P6" s="504"/>
      <c r="Q6" s="504"/>
      <c r="AH6" s="1"/>
      <c r="AI6" s="1"/>
      <c r="AJ6" s="1"/>
      <c r="AK6" s="1"/>
      <c r="AL6" s="1"/>
    </row>
    <row r="7" spans="1:47" s="1" customFormat="1" ht="30" customHeight="1">
      <c r="B7" s="505" t="s">
        <v>148</v>
      </c>
      <c r="C7" s="505"/>
      <c r="D7" s="505"/>
      <c r="E7" s="505"/>
      <c r="F7" s="505"/>
      <c r="G7" s="505"/>
      <c r="H7" s="505"/>
      <c r="I7" s="505"/>
      <c r="J7" s="505"/>
      <c r="K7" s="505"/>
      <c r="L7" s="505"/>
      <c r="M7" s="505"/>
      <c r="N7" s="505"/>
      <c r="O7" s="505"/>
      <c r="P7" s="505"/>
      <c r="Q7" s="505"/>
      <c r="R7" s="505"/>
      <c r="S7" s="505"/>
      <c r="T7" s="505"/>
      <c r="U7" s="505"/>
      <c r="V7" s="505"/>
      <c r="W7" s="505"/>
      <c r="X7" s="505"/>
      <c r="Y7" s="505"/>
      <c r="Z7" s="505"/>
      <c r="AA7" s="505"/>
      <c r="AB7" s="505"/>
      <c r="AC7" s="505"/>
      <c r="AD7" s="505"/>
      <c r="AE7" s="505"/>
      <c r="AF7" s="505"/>
      <c r="AG7" s="505"/>
      <c r="AH7" s="505"/>
      <c r="AI7" s="505"/>
      <c r="AJ7" s="505"/>
      <c r="AK7" s="505"/>
    </row>
    <row r="8" spans="1:47" s="1" customFormat="1" ht="28" customHeight="1">
      <c r="B8" s="4"/>
      <c r="C8" s="127" t="s">
        <v>112</v>
      </c>
      <c r="D8" s="128" t="s">
        <v>113</v>
      </c>
      <c r="E8" s="128" t="s">
        <v>114</v>
      </c>
      <c r="H8" s="127" t="s">
        <v>112</v>
      </c>
      <c r="I8" s="128" t="s">
        <v>113</v>
      </c>
      <c r="J8" s="128" t="s">
        <v>114</v>
      </c>
      <c r="K8" s="2"/>
      <c r="M8" s="127" t="s">
        <v>112</v>
      </c>
      <c r="N8" s="128" t="s">
        <v>113</v>
      </c>
      <c r="O8" s="128" t="s">
        <v>114</v>
      </c>
      <c r="P8" s="2"/>
      <c r="Q8" s="2"/>
    </row>
    <row r="9" spans="1:47" ht="24.5" customHeight="1">
      <c r="A9" s="1"/>
      <c r="B9" s="5"/>
      <c r="C9" s="129" t="str">
        <f>IF(Datos!C25="","",Datos!C25)</f>
        <v>CAL1</v>
      </c>
      <c r="D9" s="130">
        <f>IF(Datos!D25="","",Datos!D25)</f>
        <v>20</v>
      </c>
      <c r="E9" s="129" t="str">
        <f>IF(Datos!E25="","",Datos!E25)</f>
        <v>mg/kg</v>
      </c>
      <c r="F9" s="1"/>
      <c r="G9" s="2"/>
      <c r="H9" s="6" t="str">
        <f>IF(Datos!H25="","",Datos!H25)</f>
        <v>CAL2</v>
      </c>
      <c r="I9" s="126">
        <f>IF(Datos!I25="","",Datos!I25)</f>
        <v>80</v>
      </c>
      <c r="J9" s="6" t="str">
        <f>IF(Datos!J25="","",Datos!J25)</f>
        <v>mg/kg</v>
      </c>
      <c r="K9" s="3"/>
      <c r="L9" s="1"/>
      <c r="M9" s="6" t="str">
        <f>IF(Datos!M25="","",Datos!M25)</f>
        <v>CAL3</v>
      </c>
      <c r="N9" s="6">
        <f>IF(Datos!N25="","",Datos!N25)</f>
        <v>200</v>
      </c>
      <c r="O9" s="6" t="str">
        <f>IF(Datos!O25="","",Datos!O25)</f>
        <v>mg/kg</v>
      </c>
      <c r="P9" s="1"/>
      <c r="Q9" s="2"/>
      <c r="AH9" s="1"/>
      <c r="AI9" s="1"/>
      <c r="AJ9" s="1"/>
      <c r="AK9" s="1"/>
      <c r="AL9" s="1"/>
      <c r="AT9" s="3"/>
      <c r="AU9" s="3"/>
    </row>
    <row r="10" spans="1:47" s="1" customFormat="1" ht="14.75" customHeight="1">
      <c r="A10" s="7"/>
      <c r="B10" s="8" t="s">
        <v>115</v>
      </c>
      <c r="C10" s="8" t="str">
        <f>IF(Datos!C26="","",Datos!C26)</f>
        <v/>
      </c>
      <c r="D10" s="8" t="str">
        <f>IF(Datos!D26="","",Datos!D26)</f>
        <v/>
      </c>
      <c r="E10" s="8" t="str">
        <f>IF(Datos!E26="","",Datos!E26)</f>
        <v/>
      </c>
      <c r="G10" s="8" t="s">
        <v>115</v>
      </c>
      <c r="H10" s="8" t="str">
        <f>IF(Datos!H26="","",Datos!H26)</f>
        <v/>
      </c>
      <c r="I10" s="8" t="str">
        <f>IF(Datos!I26="","",Datos!I26)</f>
        <v/>
      </c>
      <c r="J10" s="8" t="str">
        <f>IF(Datos!J26="","",Datos!J26)</f>
        <v/>
      </c>
      <c r="L10" s="8" t="s">
        <v>115</v>
      </c>
      <c r="M10" s="8" t="str">
        <f>IF(Datos!M26="","",Datos!M26)</f>
        <v/>
      </c>
      <c r="N10" s="8" t="str">
        <f>IF(Datos!N26="","",Datos!N26)</f>
        <v/>
      </c>
      <c r="O10" s="8" t="str">
        <f>IF(Datos!O26="","",Datos!O26)</f>
        <v/>
      </c>
      <c r="Q10" s="2"/>
    </row>
    <row r="11" spans="1:47" s="1" customFormat="1">
      <c r="A11" s="7"/>
      <c r="B11" s="9">
        <v>1</v>
      </c>
      <c r="C11" s="10" t="str">
        <f>IF(Datos!C27="","",Datos!C27)</f>
        <v/>
      </c>
      <c r="D11" s="10" t="str">
        <f>IF(Datos!D27="","",Datos!D27)</f>
        <v/>
      </c>
      <c r="E11" s="10" t="str">
        <f>IF(Datos!E27="","",Datos!E27)</f>
        <v/>
      </c>
      <c r="F11" s="11"/>
      <c r="G11" s="9">
        <v>1</v>
      </c>
      <c r="H11" s="10" t="str">
        <f>IF(Datos!H27="","",Datos!H27)</f>
        <v/>
      </c>
      <c r="I11" s="10" t="str">
        <f>IF(Datos!I27="","",Datos!I27)</f>
        <v/>
      </c>
      <c r="J11" s="10" t="str">
        <f>IF(Datos!J27="","",Datos!J27)</f>
        <v/>
      </c>
      <c r="L11" s="9">
        <v>1</v>
      </c>
      <c r="M11" s="10" t="str">
        <f>IF(Datos!M27="","",Datos!M27)</f>
        <v/>
      </c>
      <c r="N11" s="10" t="str">
        <f>IF(Datos!N27="","",Datos!N27)</f>
        <v/>
      </c>
      <c r="O11" s="10" t="str">
        <f>IF(Datos!O27="","",Datos!O27)</f>
        <v/>
      </c>
      <c r="Q11" s="140" t="s">
        <v>62</v>
      </c>
      <c r="R11" s="140" t="s">
        <v>25</v>
      </c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</row>
    <row r="12" spans="1:47" s="1" customFormat="1">
      <c r="A12" s="7"/>
      <c r="B12" s="9">
        <v>2</v>
      </c>
      <c r="C12" s="10" t="str">
        <f>IF(Datos!C28="","",Datos!C28)</f>
        <v/>
      </c>
      <c r="D12" s="10" t="str">
        <f>IF(Datos!D28="","",Datos!D28)</f>
        <v/>
      </c>
      <c r="E12" s="10" t="str">
        <f>IF(Datos!E28="","",Datos!E28)</f>
        <v/>
      </c>
      <c r="F12" s="11"/>
      <c r="G12" s="9">
        <v>2</v>
      </c>
      <c r="H12" s="10" t="str">
        <f>IF(Datos!H28="","",Datos!H28)</f>
        <v/>
      </c>
      <c r="I12" s="10" t="str">
        <f>IF(Datos!I28="","",Datos!I28)</f>
        <v/>
      </c>
      <c r="J12" s="10" t="str">
        <f>IF(Datos!J28="","",Datos!J28)</f>
        <v/>
      </c>
      <c r="L12" s="9">
        <v>2</v>
      </c>
      <c r="M12" s="10" t="str">
        <f>IF(Datos!M28="","",Datos!M28)</f>
        <v/>
      </c>
      <c r="N12" s="10" t="str">
        <f>IF(Datos!N28="","",Datos!N28)</f>
        <v/>
      </c>
      <c r="O12" s="10" t="str">
        <f>IF(Datos!O28="","",Datos!O28)</f>
        <v/>
      </c>
      <c r="Q12" s="12">
        <f>IF(D9="","",D9)</f>
        <v>20</v>
      </c>
      <c r="R12" s="13" t="str">
        <f>C33</f>
        <v/>
      </c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</row>
    <row r="13" spans="1:47" s="1" customFormat="1">
      <c r="A13" s="7"/>
      <c r="B13" s="9">
        <v>3</v>
      </c>
      <c r="C13" s="10" t="str">
        <f>IF(Datos!C29="","",Datos!C29)</f>
        <v/>
      </c>
      <c r="D13" s="10" t="str">
        <f>IF(Datos!D29="","",Datos!D29)</f>
        <v/>
      </c>
      <c r="E13" s="10" t="str">
        <f>IF(Datos!E29="","",Datos!E29)</f>
        <v/>
      </c>
      <c r="F13" s="11"/>
      <c r="G13" s="9">
        <v>3</v>
      </c>
      <c r="H13" s="10" t="str">
        <f>IF(Datos!H29="","",Datos!H29)</f>
        <v/>
      </c>
      <c r="I13" s="10" t="str">
        <f>IF(Datos!I29="","",Datos!I29)</f>
        <v/>
      </c>
      <c r="J13" s="10" t="str">
        <f>IF(Datos!J29="","",Datos!J29)</f>
        <v/>
      </c>
      <c r="L13" s="9">
        <v>3</v>
      </c>
      <c r="M13" s="10" t="str">
        <f>IF(Datos!M29="","",Datos!M29)</f>
        <v/>
      </c>
      <c r="N13" s="10" t="str">
        <f>IF(Datos!N29="","",Datos!N29)</f>
        <v/>
      </c>
      <c r="O13" s="10" t="str">
        <f>IF(Datos!O29="","",Datos!O29)</f>
        <v/>
      </c>
      <c r="Q13" s="12">
        <f>IF(I9="","",I9)</f>
        <v>80</v>
      </c>
      <c r="R13" s="13" t="str">
        <f>H33</f>
        <v/>
      </c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</row>
    <row r="14" spans="1:47" s="1" customFormat="1">
      <c r="A14" s="7"/>
      <c r="B14" s="9">
        <v>4</v>
      </c>
      <c r="C14" s="10" t="str">
        <f>IF(Datos!C30="","",Datos!C30)</f>
        <v/>
      </c>
      <c r="D14" s="10" t="str">
        <f>IF(Datos!D30="","",Datos!D30)</f>
        <v/>
      </c>
      <c r="E14" s="10" t="str">
        <f>IF(Datos!E30="","",Datos!E30)</f>
        <v/>
      </c>
      <c r="F14" s="11"/>
      <c r="G14" s="9">
        <v>4</v>
      </c>
      <c r="H14" s="10" t="str">
        <f>IF(Datos!H30="","",Datos!H30)</f>
        <v/>
      </c>
      <c r="I14" s="10" t="str">
        <f>IF(Datos!I30="","",Datos!I30)</f>
        <v/>
      </c>
      <c r="J14" s="10" t="str">
        <f>IF(Datos!J30="","",Datos!J30)</f>
        <v/>
      </c>
      <c r="L14" s="9">
        <v>4</v>
      </c>
      <c r="M14" s="10" t="str">
        <f>IF(Datos!M30="","",Datos!M30)</f>
        <v/>
      </c>
      <c r="N14" s="10" t="str">
        <f>IF(Datos!N30="","",Datos!N30)</f>
        <v/>
      </c>
      <c r="O14" s="10" t="str">
        <f>IF(Datos!O30="","",Datos!O30)</f>
        <v/>
      </c>
      <c r="Q14" s="12">
        <f>IF(N9="","",N9)</f>
        <v>200</v>
      </c>
      <c r="R14" s="13" t="str">
        <f>M33</f>
        <v/>
      </c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</row>
    <row r="15" spans="1:47" s="1" customFormat="1">
      <c r="A15" s="7"/>
      <c r="B15" s="9">
        <v>5</v>
      </c>
      <c r="C15" s="10" t="str">
        <f>IF(Datos!C31="","",Datos!C31)</f>
        <v/>
      </c>
      <c r="D15" s="10" t="str">
        <f>IF(Datos!D31="","",Datos!D31)</f>
        <v/>
      </c>
      <c r="E15" s="10" t="str">
        <f>IF(Datos!E31="","",Datos!E31)</f>
        <v/>
      </c>
      <c r="F15" s="11"/>
      <c r="G15" s="9">
        <v>5</v>
      </c>
      <c r="H15" s="10" t="str">
        <f>IF(Datos!H31="","",Datos!H31)</f>
        <v/>
      </c>
      <c r="I15" s="10" t="str">
        <f>IF(Datos!I31="","",Datos!I31)</f>
        <v/>
      </c>
      <c r="J15" s="10" t="str">
        <f>IF(Datos!J31="","",Datos!J31)</f>
        <v/>
      </c>
      <c r="K15" s="11"/>
      <c r="L15" s="9">
        <v>5</v>
      </c>
      <c r="M15" s="10" t="str">
        <f>IF(Datos!M31="","",Datos!M31)</f>
        <v/>
      </c>
      <c r="N15" s="10" t="str">
        <f>IF(Datos!N31="","",Datos!N31)</f>
        <v/>
      </c>
      <c r="O15" s="10" t="str">
        <f>IF(Datos!O31="","",Datos!O31)</f>
        <v/>
      </c>
      <c r="Q15" s="2"/>
    </row>
    <row r="16" spans="1:47" s="1" customFormat="1">
      <c r="A16" s="7"/>
      <c r="B16" s="9">
        <v>6</v>
      </c>
      <c r="C16" s="10" t="str">
        <f>IF(Datos!C32="","",Datos!C32)</f>
        <v/>
      </c>
      <c r="D16" s="10" t="str">
        <f>IF(Datos!D32="","",Datos!D32)</f>
        <v/>
      </c>
      <c r="E16" s="10" t="str">
        <f>IF(Datos!E32="","",Datos!E32)</f>
        <v/>
      </c>
      <c r="F16" s="11"/>
      <c r="G16" s="9">
        <v>6</v>
      </c>
      <c r="H16" s="10" t="str">
        <f>IF(Datos!H32="","",Datos!H32)</f>
        <v/>
      </c>
      <c r="I16" s="10" t="str">
        <f>IF(Datos!I32="","",Datos!I32)</f>
        <v/>
      </c>
      <c r="J16" s="10" t="str">
        <f>IF(Datos!J32="","",Datos!J32)</f>
        <v/>
      </c>
      <c r="L16" s="9">
        <v>6</v>
      </c>
      <c r="M16" s="10" t="str">
        <f>IF(Datos!M32="","",Datos!M32)</f>
        <v/>
      </c>
      <c r="N16" s="10" t="str">
        <f>IF(Datos!N32="","",Datos!N32)</f>
        <v/>
      </c>
      <c r="O16" s="10" t="str">
        <f>IF(Datos!O32="","",Datos!O32)</f>
        <v/>
      </c>
      <c r="Q16" s="2"/>
    </row>
    <row r="17" spans="1:39" s="1" customFormat="1">
      <c r="A17" s="7"/>
      <c r="B17" s="9">
        <v>7</v>
      </c>
      <c r="C17" s="10" t="str">
        <f>IF(Datos!C33="","",Datos!C33)</f>
        <v/>
      </c>
      <c r="D17" s="10" t="str">
        <f>IF(Datos!D33="","",Datos!D33)</f>
        <v/>
      </c>
      <c r="E17" s="10" t="str">
        <f>IF(Datos!E33="","",Datos!E33)</f>
        <v/>
      </c>
      <c r="F17" s="11"/>
      <c r="G17" s="9">
        <v>7</v>
      </c>
      <c r="H17" s="10" t="str">
        <f>IF(Datos!H33="","",Datos!H33)</f>
        <v/>
      </c>
      <c r="I17" s="10" t="str">
        <f>IF(Datos!I33="","",Datos!I33)</f>
        <v/>
      </c>
      <c r="J17" s="10" t="str">
        <f>IF(Datos!J33="","",Datos!J33)</f>
        <v/>
      </c>
      <c r="L17" s="9">
        <v>7</v>
      </c>
      <c r="M17" s="10" t="str">
        <f>IF(Datos!M33="","",Datos!M33)</f>
        <v/>
      </c>
      <c r="N17" s="10" t="str">
        <f>IF(Datos!N33="","",Datos!N33)</f>
        <v/>
      </c>
      <c r="O17" s="10" t="str">
        <f>IF(Datos!O33="","",Datos!O33)</f>
        <v/>
      </c>
      <c r="Q17" s="2"/>
    </row>
    <row r="18" spans="1:39" s="1" customFormat="1">
      <c r="A18" s="7"/>
      <c r="B18" s="9">
        <v>8</v>
      </c>
      <c r="C18" s="10" t="str">
        <f>IF(Datos!C34="","",Datos!C34)</f>
        <v/>
      </c>
      <c r="D18" s="10" t="str">
        <f>IF(Datos!D34="","",Datos!D34)</f>
        <v/>
      </c>
      <c r="E18" s="10" t="str">
        <f>IF(Datos!E34="","",Datos!E34)</f>
        <v/>
      </c>
      <c r="F18" s="11"/>
      <c r="G18" s="9">
        <v>8</v>
      </c>
      <c r="H18" s="10" t="str">
        <f>IF(Datos!H34="","",Datos!H34)</f>
        <v/>
      </c>
      <c r="I18" s="10" t="str">
        <f>IF(Datos!I34="","",Datos!I34)</f>
        <v/>
      </c>
      <c r="J18" s="10" t="str">
        <f>IF(Datos!J34="","",Datos!J34)</f>
        <v/>
      </c>
      <c r="L18" s="9">
        <v>8</v>
      </c>
      <c r="M18" s="10" t="str">
        <f>IF(Datos!M34="","",Datos!M34)</f>
        <v/>
      </c>
      <c r="N18" s="10" t="str">
        <f>IF(Datos!N34="","",Datos!N34)</f>
        <v/>
      </c>
      <c r="O18" s="10" t="str">
        <f>IF(Datos!O34="","",Datos!O34)</f>
        <v/>
      </c>
      <c r="Q18" s="2"/>
    </row>
    <row r="19" spans="1:39" s="1" customFormat="1">
      <c r="A19" s="7"/>
      <c r="B19" s="9">
        <v>9</v>
      </c>
      <c r="C19" s="10" t="str">
        <f>IF(Datos!C35="","",Datos!C35)</f>
        <v/>
      </c>
      <c r="D19" s="10" t="str">
        <f>IF(Datos!D35="","",Datos!D35)</f>
        <v/>
      </c>
      <c r="E19" s="10" t="str">
        <f>IF(Datos!E35="","",Datos!E35)</f>
        <v/>
      </c>
      <c r="F19" s="11"/>
      <c r="G19" s="9">
        <v>9</v>
      </c>
      <c r="H19" s="10" t="str">
        <f>IF(Datos!H35="","",Datos!H35)</f>
        <v/>
      </c>
      <c r="I19" s="10" t="str">
        <f>IF(Datos!I35="","",Datos!I35)</f>
        <v/>
      </c>
      <c r="J19" s="10" t="str">
        <f>IF(Datos!J35="","",Datos!J35)</f>
        <v/>
      </c>
      <c r="L19" s="9">
        <v>9</v>
      </c>
      <c r="M19" s="10" t="str">
        <f>IF(Datos!M35="","",Datos!M35)</f>
        <v/>
      </c>
      <c r="N19" s="10" t="str">
        <f>IF(Datos!N35="","",Datos!N35)</f>
        <v/>
      </c>
      <c r="O19" s="10" t="str">
        <f>IF(Datos!O35="","",Datos!O35)</f>
        <v/>
      </c>
      <c r="Q19" s="2"/>
    </row>
    <row r="20" spans="1:39" s="1" customFormat="1">
      <c r="A20" s="7"/>
      <c r="B20" s="9">
        <v>10</v>
      </c>
      <c r="C20" s="10" t="str">
        <f>IF(Datos!C36="","",Datos!C36)</f>
        <v/>
      </c>
      <c r="D20" s="10" t="str">
        <f>IF(Datos!D36="","",Datos!D36)</f>
        <v/>
      </c>
      <c r="E20" s="10" t="str">
        <f>IF(Datos!E36="","",Datos!E36)</f>
        <v/>
      </c>
      <c r="F20" s="11"/>
      <c r="G20" s="9">
        <v>10</v>
      </c>
      <c r="H20" s="10" t="str">
        <f>IF(Datos!H36="","",Datos!H36)</f>
        <v/>
      </c>
      <c r="I20" s="10" t="str">
        <f>IF(Datos!I36="","",Datos!I36)</f>
        <v/>
      </c>
      <c r="J20" s="10" t="str">
        <f>IF(Datos!J36="","",Datos!J36)</f>
        <v/>
      </c>
      <c r="L20" s="9">
        <v>10</v>
      </c>
      <c r="M20" s="10" t="str">
        <f>IF(Datos!M36="","",Datos!M36)</f>
        <v/>
      </c>
      <c r="N20" s="10" t="str">
        <f>IF(Datos!N36="","",Datos!N36)</f>
        <v/>
      </c>
      <c r="O20" s="10" t="str">
        <f>IF(Datos!O36="","",Datos!O36)</f>
        <v/>
      </c>
      <c r="Q20" s="2"/>
    </row>
    <row r="21" spans="1:39" s="1" customFormat="1">
      <c r="A21" s="7"/>
      <c r="B21" s="506" t="s">
        <v>24</v>
      </c>
      <c r="C21" s="506"/>
      <c r="D21" s="506"/>
      <c r="E21" s="506"/>
      <c r="G21" s="506" t="s">
        <v>24</v>
      </c>
      <c r="H21" s="506"/>
      <c r="I21" s="506"/>
      <c r="J21" s="506"/>
      <c r="L21" s="506" t="s">
        <v>24</v>
      </c>
      <c r="M21" s="506"/>
      <c r="N21" s="506"/>
      <c r="O21" s="506"/>
      <c r="Q21" s="2"/>
    </row>
    <row r="22" spans="1:39" s="1" customFormat="1">
      <c r="A22" s="7"/>
      <c r="B22" s="9">
        <v>1</v>
      </c>
      <c r="C22" s="14" t="str">
        <f t="shared" ref="C22:E23" si="0">IF(C11="","",C11-$D$9)</f>
        <v/>
      </c>
      <c r="D22" s="14" t="str">
        <f t="shared" si="0"/>
        <v/>
      </c>
      <c r="E22" s="14" t="str">
        <f t="shared" si="0"/>
        <v/>
      </c>
      <c r="G22" s="9">
        <v>1</v>
      </c>
      <c r="H22" s="14" t="str">
        <f>IF(H11="","",H11-$I$9)</f>
        <v/>
      </c>
      <c r="I22" s="14" t="str">
        <f>IF(I11="","",I11-$I$9)</f>
        <v/>
      </c>
      <c r="J22" s="14" t="str">
        <f>IF(J11="","",J11-$I$9)</f>
        <v/>
      </c>
      <c r="L22" s="9">
        <v>1</v>
      </c>
      <c r="M22" s="14" t="str">
        <f>IF(M11="","",M11-$N$9)</f>
        <v/>
      </c>
      <c r="N22" s="14" t="str">
        <f>IF(N11="","",N11-$N$9)</f>
        <v/>
      </c>
      <c r="O22" s="14" t="str">
        <f>IF(O11="","",O11-$N$9)</f>
        <v/>
      </c>
      <c r="Q22" s="2"/>
    </row>
    <row r="23" spans="1:39" s="1" customFormat="1">
      <c r="A23" s="7"/>
      <c r="B23" s="9">
        <v>2</v>
      </c>
      <c r="C23" s="14" t="str">
        <f t="shared" si="0"/>
        <v/>
      </c>
      <c r="D23" s="14" t="str">
        <f t="shared" si="0"/>
        <v/>
      </c>
      <c r="E23" s="14" t="str">
        <f t="shared" si="0"/>
        <v/>
      </c>
      <c r="G23" s="9">
        <v>2</v>
      </c>
      <c r="H23" s="14" t="str">
        <f t="shared" ref="H23:I31" si="1">IF(H12="","",H12-$I$9)</f>
        <v/>
      </c>
      <c r="I23" s="14" t="str">
        <f t="shared" si="1"/>
        <v/>
      </c>
      <c r="J23" s="14" t="str">
        <f>IF(J12="","",J12-$I$9)</f>
        <v/>
      </c>
      <c r="L23" s="9">
        <v>2</v>
      </c>
      <c r="M23" s="14" t="str">
        <f t="shared" ref="M23:O31" si="2">IF(M12="","",M12-$N$9)</f>
        <v/>
      </c>
      <c r="N23" s="14" t="str">
        <f t="shared" si="2"/>
        <v/>
      </c>
      <c r="O23" s="14" t="str">
        <f t="shared" si="2"/>
        <v/>
      </c>
      <c r="Q23" s="2"/>
    </row>
    <row r="24" spans="1:39" s="1" customFormat="1">
      <c r="A24" s="7"/>
      <c r="B24" s="9">
        <v>3</v>
      </c>
      <c r="C24" s="14" t="str">
        <f t="shared" ref="C24:E30" si="3">IF(C13="","",C13-$D$9)</f>
        <v/>
      </c>
      <c r="D24" s="14" t="str">
        <f>IF(D13="","",D13-$D$9)</f>
        <v/>
      </c>
      <c r="E24" s="14" t="str">
        <f t="shared" si="3"/>
        <v/>
      </c>
      <c r="G24" s="9">
        <v>3</v>
      </c>
      <c r="H24" s="14" t="str">
        <f t="shared" si="1"/>
        <v/>
      </c>
      <c r="I24" s="14" t="str">
        <f t="shared" si="1"/>
        <v/>
      </c>
      <c r="J24" s="14" t="str">
        <f t="shared" ref="J24" si="4">IF(J13="","",J13-$I$9)</f>
        <v/>
      </c>
      <c r="L24" s="9">
        <v>3</v>
      </c>
      <c r="M24" s="14" t="str">
        <f t="shared" si="2"/>
        <v/>
      </c>
      <c r="N24" s="14" t="str">
        <f t="shared" si="2"/>
        <v/>
      </c>
      <c r="O24" s="14" t="str">
        <f t="shared" si="2"/>
        <v/>
      </c>
      <c r="Q24" s="2"/>
    </row>
    <row r="25" spans="1:39" s="1" customFormat="1">
      <c r="A25" s="7"/>
      <c r="B25" s="9">
        <v>4</v>
      </c>
      <c r="C25" s="14" t="str">
        <f t="shared" si="3"/>
        <v/>
      </c>
      <c r="D25" s="14" t="str">
        <f>IF(D14="","",D14-$D$9)</f>
        <v/>
      </c>
      <c r="E25" s="14" t="str">
        <f t="shared" si="3"/>
        <v/>
      </c>
      <c r="G25" s="9">
        <v>4</v>
      </c>
      <c r="H25" s="14" t="str">
        <f t="shared" si="1"/>
        <v/>
      </c>
      <c r="I25" s="14" t="str">
        <f>IF(I14="","",I14-$I$9)</f>
        <v/>
      </c>
      <c r="J25" s="14" t="str">
        <f t="shared" ref="J25" si="5">IF(J14="","",J14-$I$9)</f>
        <v/>
      </c>
      <c r="L25" s="9">
        <v>4</v>
      </c>
      <c r="M25" s="14" t="str">
        <f t="shared" si="2"/>
        <v/>
      </c>
      <c r="N25" s="14" t="str">
        <f t="shared" si="2"/>
        <v/>
      </c>
      <c r="O25" s="14" t="str">
        <f t="shared" si="2"/>
        <v/>
      </c>
      <c r="Q25" s="2"/>
    </row>
    <row r="26" spans="1:39" s="1" customFormat="1">
      <c r="A26" s="7"/>
      <c r="B26" s="9">
        <v>5</v>
      </c>
      <c r="C26" s="14" t="str">
        <f t="shared" si="3"/>
        <v/>
      </c>
      <c r="D26" s="14" t="str">
        <f t="shared" ref="D26" si="6">IF(D15="","",D15-$D$9)</f>
        <v/>
      </c>
      <c r="E26" s="14" t="str">
        <f t="shared" si="3"/>
        <v/>
      </c>
      <c r="G26" s="9">
        <v>5</v>
      </c>
      <c r="H26" s="14" t="str">
        <f t="shared" si="1"/>
        <v/>
      </c>
      <c r="I26" s="14" t="str">
        <f t="shared" si="1"/>
        <v/>
      </c>
      <c r="J26" s="14" t="str">
        <f t="shared" ref="J26" si="7">IF(J15="","",J15-$I$9)</f>
        <v/>
      </c>
      <c r="L26" s="9">
        <v>5</v>
      </c>
      <c r="M26" s="14" t="str">
        <f t="shared" si="2"/>
        <v/>
      </c>
      <c r="N26" s="14" t="str">
        <f t="shared" si="2"/>
        <v/>
      </c>
      <c r="O26" s="14" t="str">
        <f t="shared" si="2"/>
        <v/>
      </c>
      <c r="Q26" s="2"/>
    </row>
    <row r="27" spans="1:39" s="1" customFormat="1">
      <c r="A27" s="7"/>
      <c r="B27" s="9">
        <v>6</v>
      </c>
      <c r="C27" s="14" t="str">
        <f t="shared" si="3"/>
        <v/>
      </c>
      <c r="D27" s="14" t="str">
        <f t="shared" ref="D27" si="8">IF(D16="","",D16-$D$9)</f>
        <v/>
      </c>
      <c r="E27" s="14" t="str">
        <f t="shared" si="3"/>
        <v/>
      </c>
      <c r="G27" s="9">
        <v>6</v>
      </c>
      <c r="H27" s="14" t="str">
        <f t="shared" si="1"/>
        <v/>
      </c>
      <c r="I27" s="14" t="str">
        <f t="shared" si="1"/>
        <v/>
      </c>
      <c r="J27" s="14" t="str">
        <f t="shared" ref="J27" si="9">IF(J16="","",J16-$I$9)</f>
        <v/>
      </c>
      <c r="L27" s="9">
        <v>6</v>
      </c>
      <c r="M27" s="14" t="str">
        <f t="shared" si="2"/>
        <v/>
      </c>
      <c r="N27" s="14" t="str">
        <f t="shared" si="2"/>
        <v/>
      </c>
      <c r="O27" s="14" t="str">
        <f t="shared" si="2"/>
        <v/>
      </c>
      <c r="Q27" s="2"/>
    </row>
    <row r="28" spans="1:39" s="1" customFormat="1">
      <c r="A28" s="7"/>
      <c r="B28" s="9">
        <v>7</v>
      </c>
      <c r="C28" s="14" t="str">
        <f t="shared" si="3"/>
        <v/>
      </c>
      <c r="D28" s="14" t="str">
        <f t="shared" ref="D28" si="10">IF(D17="","",D17-$D$9)</f>
        <v/>
      </c>
      <c r="E28" s="14" t="str">
        <f t="shared" si="3"/>
        <v/>
      </c>
      <c r="G28" s="9">
        <v>7</v>
      </c>
      <c r="H28" s="14" t="str">
        <f t="shared" si="1"/>
        <v/>
      </c>
      <c r="I28" s="14" t="str">
        <f t="shared" si="1"/>
        <v/>
      </c>
      <c r="J28" s="14" t="str">
        <f t="shared" ref="J28" si="11">IF(J17="","",J17-$I$9)</f>
        <v/>
      </c>
      <c r="L28" s="9">
        <v>7</v>
      </c>
      <c r="M28" s="14" t="str">
        <f t="shared" si="2"/>
        <v/>
      </c>
      <c r="N28" s="14" t="str">
        <f t="shared" si="2"/>
        <v/>
      </c>
      <c r="O28" s="14" t="str">
        <f t="shared" si="2"/>
        <v/>
      </c>
      <c r="P28" s="15" t="s">
        <v>29</v>
      </c>
      <c r="Q28" s="132">
        <f>Datos!Q27</f>
        <v>6.9999999999999999E-6</v>
      </c>
    </row>
    <row r="29" spans="1:39" s="1" customFormat="1" ht="14">
      <c r="A29" s="7"/>
      <c r="B29" s="9">
        <v>8</v>
      </c>
      <c r="C29" s="14" t="str">
        <f t="shared" si="3"/>
        <v/>
      </c>
      <c r="D29" s="14" t="str">
        <f t="shared" ref="D29" si="12">IF(D18="","",D18-$D$9)</f>
        <v/>
      </c>
      <c r="E29" s="14" t="str">
        <f t="shared" si="3"/>
        <v/>
      </c>
      <c r="G29" s="9">
        <v>8</v>
      </c>
      <c r="H29" s="14" t="str">
        <f t="shared" si="1"/>
        <v/>
      </c>
      <c r="I29" s="14" t="str">
        <f t="shared" si="1"/>
        <v/>
      </c>
      <c r="J29" s="14" t="str">
        <f t="shared" ref="J29" si="13">IF(J18="","",J18-$I$9)</f>
        <v/>
      </c>
      <c r="L29" s="9">
        <v>8</v>
      </c>
      <c r="M29" s="14" t="str">
        <f t="shared" si="2"/>
        <v/>
      </c>
      <c r="N29" s="14" t="str">
        <f t="shared" si="2"/>
        <v/>
      </c>
      <c r="O29" s="14" t="str">
        <f t="shared" si="2"/>
        <v/>
      </c>
      <c r="P29" s="16" t="s">
        <v>30</v>
      </c>
      <c r="Q29" s="132">
        <f>Datos!Q28</f>
        <v>1.23E-2</v>
      </c>
    </row>
    <row r="30" spans="1:39" s="1" customFormat="1" ht="14">
      <c r="A30" s="7"/>
      <c r="B30" s="9">
        <v>9</v>
      </c>
      <c r="C30" s="14" t="str">
        <f t="shared" si="3"/>
        <v/>
      </c>
      <c r="D30" s="14" t="str">
        <f t="shared" ref="D30" si="14">IF(D19="","",D19-$D$9)</f>
        <v/>
      </c>
      <c r="E30" s="14" t="str">
        <f t="shared" si="3"/>
        <v/>
      </c>
      <c r="G30" s="9">
        <v>9</v>
      </c>
      <c r="H30" s="14" t="str">
        <f t="shared" si="1"/>
        <v/>
      </c>
      <c r="I30" s="14" t="str">
        <f t="shared" si="1"/>
        <v/>
      </c>
      <c r="J30" s="14" t="str">
        <f t="shared" ref="J30" si="15">IF(J19="","",J19-$I$9)</f>
        <v/>
      </c>
      <c r="L30" s="9">
        <v>9</v>
      </c>
      <c r="M30" s="14" t="str">
        <f t="shared" si="2"/>
        <v/>
      </c>
      <c r="N30" s="14" t="str">
        <f t="shared" si="2"/>
        <v/>
      </c>
      <c r="O30" s="14" t="str">
        <f t="shared" si="2"/>
        <v/>
      </c>
      <c r="P30" s="16" t="s">
        <v>116</v>
      </c>
      <c r="Q30" s="132">
        <f>Datos!Q29</f>
        <v>-2.3199999999999998E-2</v>
      </c>
    </row>
    <row r="31" spans="1:39" s="1" customFormat="1">
      <c r="A31" s="7"/>
      <c r="B31" s="9">
        <v>10</v>
      </c>
      <c r="C31" s="14" t="str">
        <f>IF(C20="","",C20-$D$9)</f>
        <v/>
      </c>
      <c r="D31" s="14" t="str">
        <f>IF(D20="","",D20-$D$9)</f>
        <v/>
      </c>
      <c r="E31" s="14" t="str">
        <f>IF(E20="","",E20-$D$9)</f>
        <v/>
      </c>
      <c r="G31" s="9">
        <v>10</v>
      </c>
      <c r="H31" s="14" t="str">
        <f t="shared" si="1"/>
        <v/>
      </c>
      <c r="I31" s="14" t="str">
        <f t="shared" si="1"/>
        <v/>
      </c>
      <c r="J31" s="14" t="str">
        <f t="shared" ref="J31" si="16">IF(J20="","",J20-$I$9)</f>
        <v/>
      </c>
      <c r="L31" s="9">
        <v>10</v>
      </c>
      <c r="M31" s="14" t="str">
        <f t="shared" si="2"/>
        <v/>
      </c>
      <c r="N31" s="14" t="str">
        <f t="shared" si="2"/>
        <v/>
      </c>
      <c r="O31" s="14" t="str">
        <f t="shared" si="2"/>
        <v/>
      </c>
    </row>
    <row r="32" spans="1:39" s="19" customFormat="1" ht="19.5" customHeight="1">
      <c r="A32" s="17"/>
      <c r="B32" s="18" t="s">
        <v>23</v>
      </c>
      <c r="C32" s="498" t="str">
        <f>IFERROR(VAR(C22:E31),"")</f>
        <v/>
      </c>
      <c r="D32" s="499"/>
      <c r="E32" s="500"/>
      <c r="G32" s="18" t="s">
        <v>23</v>
      </c>
      <c r="H32" s="498" t="str">
        <f>IFERROR(VAR(H22:J31),"")</f>
        <v/>
      </c>
      <c r="I32" s="499"/>
      <c r="J32" s="500"/>
      <c r="L32" s="18" t="s">
        <v>23</v>
      </c>
      <c r="M32" s="498" t="str">
        <f>IFERROR(VAR(M22:O31),"")</f>
        <v/>
      </c>
      <c r="N32" s="499"/>
      <c r="O32" s="500"/>
      <c r="AL32" s="20"/>
      <c r="AM32" s="20"/>
    </row>
    <row r="33" spans="1:40" s="19" customFormat="1" ht="19.5" customHeight="1">
      <c r="A33" s="17"/>
      <c r="B33" s="21" t="s">
        <v>24</v>
      </c>
      <c r="C33" s="501" t="str">
        <f>IFERROR(SQRT(C32),"")</f>
        <v/>
      </c>
      <c r="D33" s="502"/>
      <c r="E33" s="503"/>
      <c r="G33" s="21" t="s">
        <v>24</v>
      </c>
      <c r="H33" s="501" t="str">
        <f>IFERROR(SQRT(H32),"")</f>
        <v/>
      </c>
      <c r="I33" s="502"/>
      <c r="J33" s="503"/>
      <c r="L33" s="21" t="s">
        <v>24</v>
      </c>
      <c r="M33" s="501" t="str">
        <f>IFERROR(SQRT(M32),"")</f>
        <v/>
      </c>
      <c r="N33" s="502"/>
      <c r="O33" s="503"/>
    </row>
    <row r="34" spans="1:40" s="23" customFormat="1" ht="30" customHeight="1">
      <c r="A34" s="22"/>
      <c r="B34" s="475" t="s">
        <v>223</v>
      </c>
      <c r="C34" s="475"/>
      <c r="D34" s="475"/>
      <c r="E34" s="475"/>
      <c r="F34" s="475"/>
      <c r="G34" s="475"/>
      <c r="H34" s="475"/>
      <c r="I34" s="475"/>
      <c r="J34" s="475"/>
      <c r="K34" s="475"/>
      <c r="L34" s="475"/>
      <c r="M34" s="475"/>
      <c r="N34" s="475"/>
      <c r="O34" s="475"/>
      <c r="P34" s="475"/>
      <c r="Q34" s="475"/>
      <c r="R34" s="475"/>
      <c r="S34" s="475"/>
      <c r="T34" s="475"/>
      <c r="U34" s="475"/>
      <c r="V34" s="475"/>
      <c r="W34" s="475"/>
      <c r="X34" s="475"/>
      <c r="Y34" s="475"/>
      <c r="Z34" s="475"/>
      <c r="AA34" s="475"/>
      <c r="AB34" s="475"/>
      <c r="AC34" s="475"/>
      <c r="AD34" s="475"/>
      <c r="AE34" s="475"/>
      <c r="AF34" s="475"/>
      <c r="AG34" s="475"/>
      <c r="AH34" s="475"/>
      <c r="AI34" s="475"/>
      <c r="AJ34" s="475"/>
      <c r="AK34" s="475"/>
    </row>
    <row r="35" spans="1:40" s="1" customFormat="1" ht="28" customHeight="1">
      <c r="B35" s="4"/>
      <c r="C35" s="127" t="s">
        <v>112</v>
      </c>
      <c r="D35" s="128" t="s">
        <v>113</v>
      </c>
      <c r="E35" s="128" t="s">
        <v>114</v>
      </c>
      <c r="H35" s="127" t="s">
        <v>112</v>
      </c>
      <c r="I35" s="128" t="s">
        <v>113</v>
      </c>
      <c r="J35" s="128" t="s">
        <v>114</v>
      </c>
      <c r="K35" s="2"/>
      <c r="M35" s="127" t="s">
        <v>112</v>
      </c>
      <c r="N35" s="128" t="s">
        <v>113</v>
      </c>
      <c r="O35" s="128" t="s">
        <v>114</v>
      </c>
      <c r="P35" s="2"/>
      <c r="Q35" s="2"/>
    </row>
    <row r="36" spans="1:40" s="23" customFormat="1" ht="25.5" customHeight="1">
      <c r="A36" s="22"/>
      <c r="B36" s="1"/>
      <c r="C36" s="6" t="str">
        <f>IF(Datos!C39="","",Datos!C39)</f>
        <v/>
      </c>
      <c r="D36" s="6">
        <f>IF(Datos!D39="","",Datos!D39)</f>
        <v>20</v>
      </c>
      <c r="E36" s="6" t="str">
        <f>IF(Datos!E39="","",Datos!E39)</f>
        <v>mg/kg</v>
      </c>
      <c r="G36" s="2"/>
      <c r="H36" s="6" t="str">
        <f>IF(Datos!H39="","",Datos!H39)</f>
        <v/>
      </c>
      <c r="I36" s="6">
        <f>IF(Datos!I39="","",Datos!I39)</f>
        <v>80</v>
      </c>
      <c r="J36" s="6" t="str">
        <f>IF(Datos!J39="","",Datos!J39)</f>
        <v>mg/kg</v>
      </c>
      <c r="K36" s="3"/>
      <c r="L36" s="1"/>
      <c r="M36" s="6" t="str">
        <f>IF(Datos!M39="","",Datos!M39)</f>
        <v/>
      </c>
      <c r="N36" s="6">
        <f>IF(Datos!N39="","",Datos!N39)</f>
        <v>200</v>
      </c>
      <c r="O36" s="6" t="str">
        <f>IF(Datos!O39="","",Datos!O39)</f>
        <v>mg/kg</v>
      </c>
      <c r="P36" s="22"/>
    </row>
    <row r="37" spans="1:40" s="1" customFormat="1" ht="14">
      <c r="A37" s="7"/>
      <c r="B37" s="8" t="s">
        <v>20</v>
      </c>
      <c r="C37" s="8" t="str">
        <f>IF(Datos!C40="","",Datos!C40)</f>
        <v>ASR</v>
      </c>
      <c r="D37" s="8" t="str">
        <f>IF(Datos!D40="","",Datos!D40)</f>
        <v>ASC</v>
      </c>
      <c r="E37" s="8" t="str">
        <f>IF(Datos!E40="","",Datos!E40)</f>
        <v/>
      </c>
      <c r="F37" s="24"/>
      <c r="G37" s="8" t="s">
        <v>20</v>
      </c>
      <c r="H37" s="8" t="str">
        <f>IF(Datos!H40="","",Datos!H40)</f>
        <v>ASR</v>
      </c>
      <c r="I37" s="8" t="str">
        <f>IF(Datos!I40="","",Datos!I40)</f>
        <v>ASC</v>
      </c>
      <c r="J37" s="8" t="str">
        <f>IF(Datos!J40="","",Datos!J40)</f>
        <v/>
      </c>
      <c r="L37" s="8" t="s">
        <v>20</v>
      </c>
      <c r="M37" s="8" t="str">
        <f>IF(Datos!M40="","",Datos!M40)</f>
        <v>ASR</v>
      </c>
      <c r="N37" s="8" t="str">
        <f>IF(Datos!N40="","",Datos!N40)</f>
        <v>ASC</v>
      </c>
      <c r="O37" s="8" t="str">
        <f>IF(Datos!O40="","",Datos!O40)</f>
        <v/>
      </c>
      <c r="Q37" s="25" t="s">
        <v>62</v>
      </c>
      <c r="R37" s="140" t="s">
        <v>26</v>
      </c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</row>
    <row r="38" spans="1:40" s="1" customFormat="1">
      <c r="A38" s="7"/>
      <c r="B38" s="9">
        <v>1</v>
      </c>
      <c r="C38" s="10">
        <f>IF(Datos!C41="","",Datos!C41)</f>
        <v>20.53</v>
      </c>
      <c r="D38" s="10">
        <f>IF(Datos!D41="","",Datos!D41)</f>
        <v>19.86</v>
      </c>
      <c r="E38" s="10" t="str">
        <f>IF(Datos!E41="","",Datos!E41)</f>
        <v/>
      </c>
      <c r="F38" s="11"/>
      <c r="G38" s="9">
        <v>1</v>
      </c>
      <c r="H38" s="10">
        <f>IF(Datos!H41="","",Datos!H41)</f>
        <v>78.510000000000005</v>
      </c>
      <c r="I38" s="10">
        <f>IF(Datos!I41="","",Datos!I41)</f>
        <v>80.97</v>
      </c>
      <c r="J38" s="10" t="str">
        <f>IF(Datos!J41="","",Datos!J41)</f>
        <v/>
      </c>
      <c r="L38" s="9">
        <v>1</v>
      </c>
      <c r="M38" s="10">
        <f>IF(Datos!M41="","",Datos!M41)</f>
        <v>200.56</v>
      </c>
      <c r="N38" s="10">
        <f>IF(Datos!N41="","",Datos!N41)</f>
        <v>202.46</v>
      </c>
      <c r="O38" s="10" t="str">
        <f>IF(Datos!O41="","",Datos!O41)</f>
        <v/>
      </c>
      <c r="Q38" s="13">
        <f>D36</f>
        <v>20</v>
      </c>
      <c r="R38" s="26">
        <f>E67</f>
        <v>0.22546987973267477</v>
      </c>
      <c r="S38" s="111"/>
      <c r="T38" s="111"/>
      <c r="U38" s="111"/>
      <c r="V38" s="111"/>
      <c r="W38" s="111"/>
      <c r="X38" s="111"/>
      <c r="Y38" s="111"/>
      <c r="Z38" s="111"/>
      <c r="AA38" s="111"/>
      <c r="AB38" s="111"/>
      <c r="AC38" s="111"/>
      <c r="AD38" s="111"/>
      <c r="AE38" s="111"/>
      <c r="AF38" s="111"/>
    </row>
    <row r="39" spans="1:40" s="1" customFormat="1">
      <c r="A39" s="7"/>
      <c r="B39" s="9">
        <v>2</v>
      </c>
      <c r="C39" s="10">
        <f>IF(Datos!C42="","",Datos!C42)</f>
        <v>19.87</v>
      </c>
      <c r="D39" s="10">
        <f>IF(Datos!D42="","",Datos!D42)</f>
        <v>19.87</v>
      </c>
      <c r="E39" s="10" t="str">
        <f>IF(Datos!E42="","",Datos!E42)</f>
        <v/>
      </c>
      <c r="F39" s="11"/>
      <c r="G39" s="9">
        <v>2</v>
      </c>
      <c r="H39" s="10">
        <f>IF(Datos!H42="","",Datos!H42)</f>
        <v>80.66</v>
      </c>
      <c r="I39" s="10">
        <f>IF(Datos!I42="","",Datos!I42)</f>
        <v>80.599999999999994</v>
      </c>
      <c r="J39" s="10" t="str">
        <f>IF(Datos!J42="","",Datos!J42)</f>
        <v/>
      </c>
      <c r="L39" s="9">
        <v>2</v>
      </c>
      <c r="M39" s="10">
        <f>IF(Datos!M42="","",Datos!M42)</f>
        <v>197.58</v>
      </c>
      <c r="N39" s="10">
        <f>IF(Datos!N42="","",Datos!N42)</f>
        <v>196.13</v>
      </c>
      <c r="O39" s="10" t="str">
        <f>IF(Datos!O42="","",Datos!O42)</f>
        <v/>
      </c>
      <c r="Q39" s="12">
        <f>I36</f>
        <v>80</v>
      </c>
      <c r="R39" s="26">
        <f>J67</f>
        <v>1.0053271993623643</v>
      </c>
      <c r="S39" s="111"/>
      <c r="T39" s="111"/>
      <c r="U39" s="111"/>
      <c r="V39" s="111"/>
      <c r="W39" s="111"/>
      <c r="X39" s="111"/>
      <c r="Y39" s="111"/>
      <c r="Z39" s="111"/>
      <c r="AA39" s="111"/>
      <c r="AB39" s="111"/>
      <c r="AC39" s="111"/>
      <c r="AD39" s="111"/>
      <c r="AE39" s="111"/>
      <c r="AF39" s="111"/>
      <c r="AG39" s="2"/>
    </row>
    <row r="40" spans="1:40" s="1" customFormat="1">
      <c r="A40" s="7"/>
      <c r="B40" s="9">
        <v>3</v>
      </c>
      <c r="C40" s="10">
        <f>IF(Datos!C43="","",Datos!C43)</f>
        <v>19.7</v>
      </c>
      <c r="D40" s="10">
        <f>IF(Datos!D43="","",Datos!D43)</f>
        <v>19.96</v>
      </c>
      <c r="E40" s="10" t="str">
        <f>IF(Datos!E43="","",Datos!E43)</f>
        <v/>
      </c>
      <c r="F40" s="11"/>
      <c r="G40" s="9">
        <v>3</v>
      </c>
      <c r="H40" s="10">
        <f>IF(Datos!H43="","",Datos!H43)</f>
        <v>79.77</v>
      </c>
      <c r="I40" s="10">
        <f>IF(Datos!I43="","",Datos!I43)</f>
        <v>80.39</v>
      </c>
      <c r="J40" s="10" t="str">
        <f>IF(Datos!J43="","",Datos!J43)</f>
        <v/>
      </c>
      <c r="L40" s="9">
        <v>3</v>
      </c>
      <c r="M40" s="10">
        <f>IF(Datos!M43="","",Datos!M43)</f>
        <v>203.62</v>
      </c>
      <c r="N40" s="10">
        <f>IF(Datos!N43="","",Datos!N43)</f>
        <v>202.21</v>
      </c>
      <c r="O40" s="10" t="str">
        <f>IF(Datos!O43="","",Datos!O43)</f>
        <v/>
      </c>
      <c r="Q40" s="12">
        <f>N36</f>
        <v>200</v>
      </c>
      <c r="R40" s="26">
        <f>O67</f>
        <v>2.7595395147258426</v>
      </c>
      <c r="S40" s="111"/>
      <c r="T40" s="111"/>
      <c r="U40" s="111"/>
      <c r="V40" s="111"/>
      <c r="W40" s="111"/>
      <c r="X40" s="111"/>
      <c r="Y40" s="111"/>
      <c r="Z40" s="111"/>
      <c r="AA40" s="111"/>
      <c r="AB40" s="111"/>
      <c r="AC40" s="111"/>
      <c r="AD40" s="111"/>
      <c r="AE40" s="111"/>
      <c r="AF40" s="111"/>
      <c r="AG40" s="27"/>
      <c r="AJ40" s="23"/>
      <c r="AK40" s="23"/>
      <c r="AL40" s="23"/>
      <c r="AM40" s="23"/>
      <c r="AN40" s="23"/>
    </row>
    <row r="41" spans="1:40" s="1" customFormat="1">
      <c r="A41" s="7"/>
      <c r="B41" s="9">
        <v>4</v>
      </c>
      <c r="C41" s="10">
        <f>IF(Datos!C44="","",Datos!C44)</f>
        <v>19.850000000000001</v>
      </c>
      <c r="D41" s="10">
        <f>IF(Datos!D44="","",Datos!D44)</f>
        <v>19.940000000000001</v>
      </c>
      <c r="E41" s="10" t="str">
        <f>IF(Datos!E44="","",Datos!E44)</f>
        <v/>
      </c>
      <c r="F41" s="11"/>
      <c r="G41" s="9">
        <v>4</v>
      </c>
      <c r="H41" s="10">
        <f>IF(Datos!H44="","",Datos!H44)</f>
        <v>80.150000000000006</v>
      </c>
      <c r="I41" s="10">
        <f>IF(Datos!I44="","",Datos!I44)</f>
        <v>80.400000000000006</v>
      </c>
      <c r="J41" s="10" t="str">
        <f>IF(Datos!J44="","",Datos!J44)</f>
        <v/>
      </c>
      <c r="L41" s="9">
        <v>4</v>
      </c>
      <c r="M41" s="10">
        <f>IF(Datos!M44="","",Datos!M44)</f>
        <v>195.88</v>
      </c>
      <c r="N41" s="10">
        <f>IF(Datos!N44="","",Datos!N44)</f>
        <v>201.32</v>
      </c>
      <c r="O41" s="10" t="str">
        <f>IF(Datos!O44="","",Datos!O44)</f>
        <v/>
      </c>
      <c r="AG41" s="27"/>
      <c r="AJ41" s="28"/>
    </row>
    <row r="42" spans="1:40" s="1" customFormat="1">
      <c r="A42" s="7"/>
      <c r="B42" s="9">
        <v>5</v>
      </c>
      <c r="C42" s="10">
        <f>IF(Datos!C45="","",Datos!C45)</f>
        <v>20.2</v>
      </c>
      <c r="D42" s="10">
        <f>IF(Datos!D45="","",Datos!D45)</f>
        <v>19.829999999999998</v>
      </c>
      <c r="E42" s="10" t="str">
        <f>IF(Datos!E45="","",Datos!E45)</f>
        <v/>
      </c>
      <c r="F42" s="11"/>
      <c r="G42" s="9">
        <v>5</v>
      </c>
      <c r="H42" s="10">
        <f>IF(Datos!H45="","",Datos!H45)</f>
        <v>81.53</v>
      </c>
      <c r="I42" s="10">
        <f>IF(Datos!I45="","",Datos!I45)</f>
        <v>80.099999999999994</v>
      </c>
      <c r="J42" s="10" t="str">
        <f>IF(Datos!J45="","",Datos!J45)</f>
        <v/>
      </c>
      <c r="K42" s="11"/>
      <c r="L42" s="9">
        <v>5</v>
      </c>
      <c r="M42" s="10">
        <f>IF(Datos!M45="","",Datos!M45)</f>
        <v>199.75</v>
      </c>
      <c r="N42" s="10">
        <f>IF(Datos!N45="","",Datos!N45)</f>
        <v>195.4</v>
      </c>
      <c r="O42" s="10" t="str">
        <f>IF(Datos!O45="","",Datos!O45)</f>
        <v/>
      </c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30"/>
      <c r="AH42" s="30"/>
      <c r="AI42" s="31"/>
      <c r="AJ42" s="30"/>
    </row>
    <row r="43" spans="1:40" s="1" customFormat="1">
      <c r="A43" s="7"/>
      <c r="B43" s="9">
        <v>6</v>
      </c>
      <c r="C43" s="10">
        <f>IF(Datos!C46="","",Datos!C46)</f>
        <v>19.809999999999999</v>
      </c>
      <c r="D43" s="10">
        <f>IF(Datos!D46="","",Datos!D46)</f>
        <v>20.27</v>
      </c>
      <c r="E43" s="10" t="str">
        <f>IF(Datos!E46="","",Datos!E46)</f>
        <v/>
      </c>
      <c r="F43" s="11"/>
      <c r="G43" s="9">
        <v>6</v>
      </c>
      <c r="H43" s="10">
        <f>IF(Datos!H46="","",Datos!H46)</f>
        <v>80.91</v>
      </c>
      <c r="I43" s="10">
        <f>IF(Datos!I46="","",Datos!I46)</f>
        <v>80.180000000000007</v>
      </c>
      <c r="J43" s="10" t="str">
        <f>IF(Datos!J46="","",Datos!J46)</f>
        <v/>
      </c>
      <c r="L43" s="9">
        <v>6</v>
      </c>
      <c r="M43" s="10">
        <f>IF(Datos!M46="","",Datos!M46)</f>
        <v>202.64</v>
      </c>
      <c r="N43" s="10">
        <f>IF(Datos!N46="","",Datos!N46)</f>
        <v>201.22</v>
      </c>
      <c r="O43" s="10" t="str">
        <f>IF(Datos!O46="","",Datos!O46)</f>
        <v/>
      </c>
    </row>
    <row r="44" spans="1:40" s="1" customFormat="1">
      <c r="A44" s="7"/>
      <c r="B44" s="9">
        <v>7</v>
      </c>
      <c r="C44" s="10">
        <f>IF(Datos!C47="","",Datos!C47)</f>
        <v>20.100000000000001</v>
      </c>
      <c r="D44" s="10">
        <f>IF(Datos!D47="","",Datos!D47)</f>
        <v>19.809999999999999</v>
      </c>
      <c r="E44" s="10" t="str">
        <f>IF(Datos!E47="","",Datos!E47)</f>
        <v/>
      </c>
      <c r="F44" s="11"/>
      <c r="G44" s="9">
        <v>7</v>
      </c>
      <c r="H44" s="10">
        <f>IF(Datos!H47="","",Datos!H47)</f>
        <v>81.55</v>
      </c>
      <c r="I44" s="10">
        <f>IF(Datos!I47="","",Datos!I47)</f>
        <v>80.75</v>
      </c>
      <c r="J44" s="10" t="str">
        <f>IF(Datos!J47="","",Datos!J47)</f>
        <v/>
      </c>
      <c r="L44" s="9">
        <v>7</v>
      </c>
      <c r="M44" s="10">
        <f>IF(Datos!M47="","",Datos!M47)</f>
        <v>198.19</v>
      </c>
      <c r="N44" s="10">
        <f>IF(Datos!N47="","",Datos!N47)</f>
        <v>202.07</v>
      </c>
      <c r="O44" s="10" t="str">
        <f>IF(Datos!O47="","",Datos!O47)</f>
        <v/>
      </c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</row>
    <row r="45" spans="1:40" s="1" customFormat="1">
      <c r="A45" s="7"/>
      <c r="B45" s="9">
        <v>8</v>
      </c>
      <c r="C45" s="10">
        <f>IF(Datos!C48="","",Datos!C48)</f>
        <v>20.16</v>
      </c>
      <c r="D45" s="10">
        <f>IF(Datos!D48="","",Datos!D48)</f>
        <v>20.04</v>
      </c>
      <c r="E45" s="10" t="str">
        <f>IF(Datos!E48="","",Datos!E48)</f>
        <v/>
      </c>
      <c r="F45" s="11"/>
      <c r="G45" s="9">
        <v>8</v>
      </c>
      <c r="H45" s="10">
        <f>IF(Datos!H48="","",Datos!H48)</f>
        <v>80.760000000000005</v>
      </c>
      <c r="I45" s="10">
        <f>IF(Datos!I48="","",Datos!I48)</f>
        <v>78.58</v>
      </c>
      <c r="J45" s="10" t="str">
        <f>IF(Datos!J48="","",Datos!J48)</f>
        <v/>
      </c>
      <c r="L45" s="9">
        <v>8</v>
      </c>
      <c r="M45" s="10">
        <f>IF(Datos!M48="","",Datos!M48)</f>
        <v>196.29</v>
      </c>
      <c r="N45" s="10">
        <f>IF(Datos!N48="","",Datos!N48)</f>
        <v>201.05</v>
      </c>
      <c r="O45" s="10" t="str">
        <f>IF(Datos!O48="","",Datos!O48)</f>
        <v/>
      </c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8"/>
      <c r="AH45" s="28"/>
      <c r="AI45" s="32"/>
      <c r="AJ45" s="28"/>
    </row>
    <row r="46" spans="1:40" s="1" customFormat="1">
      <c r="A46" s="7"/>
      <c r="B46" s="9">
        <v>9</v>
      </c>
      <c r="C46" s="10">
        <f>IF(Datos!C49="","",Datos!C49)</f>
        <v>20.41</v>
      </c>
      <c r="D46" s="10">
        <f>IF(Datos!D49="","",Datos!D49)</f>
        <v>20.260000000000002</v>
      </c>
      <c r="E46" s="10" t="str">
        <f>IF(Datos!E49="","",Datos!E49)</f>
        <v/>
      </c>
      <c r="F46" s="11"/>
      <c r="G46" s="9">
        <v>9</v>
      </c>
      <c r="H46" s="10">
        <f>IF(Datos!H49="","",Datos!H49)</f>
        <v>80.430000000000007</v>
      </c>
      <c r="I46" s="10">
        <f>IF(Datos!I49="","",Datos!I49)</f>
        <v>79.13</v>
      </c>
      <c r="J46" s="10" t="str">
        <f>IF(Datos!J49="","",Datos!J49)</f>
        <v/>
      </c>
      <c r="L46" s="9">
        <v>9</v>
      </c>
      <c r="M46" s="10">
        <f>IF(Datos!M49="","",Datos!M49)</f>
        <v>198.74</v>
      </c>
      <c r="N46" s="10">
        <f>IF(Datos!N49="","",Datos!N49)</f>
        <v>202.65</v>
      </c>
      <c r="O46" s="10" t="str">
        <f>IF(Datos!O49="","",Datos!O49)</f>
        <v/>
      </c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30"/>
      <c r="AH46" s="30"/>
      <c r="AI46" s="31"/>
      <c r="AJ46" s="30"/>
    </row>
    <row r="47" spans="1:40" s="1" customFormat="1">
      <c r="A47" s="7"/>
      <c r="B47" s="9">
        <v>10</v>
      </c>
      <c r="C47" s="10">
        <f>IF(Datos!C50="","",Datos!C50)</f>
        <v>20.02</v>
      </c>
      <c r="D47" s="10">
        <f>IF(Datos!D50="","",Datos!D50)</f>
        <v>19.829999999999998</v>
      </c>
      <c r="E47" s="10" t="str">
        <f>IF(Datos!E50="","",Datos!E50)</f>
        <v/>
      </c>
      <c r="F47" s="11"/>
      <c r="G47" s="9">
        <v>10</v>
      </c>
      <c r="H47" s="10">
        <f>IF(Datos!H50="","",Datos!H50)</f>
        <v>79.040000000000006</v>
      </c>
      <c r="I47" s="10">
        <f>IF(Datos!I50="","",Datos!I50)</f>
        <v>77.900000000000006</v>
      </c>
      <c r="J47" s="10" t="str">
        <f>IF(Datos!J50="","",Datos!J50)</f>
        <v/>
      </c>
      <c r="L47" s="9">
        <v>10</v>
      </c>
      <c r="M47" s="10">
        <f>IF(Datos!M50="","",Datos!M50)</f>
        <v>203.71</v>
      </c>
      <c r="N47" s="10">
        <f>IF(Datos!N50="","",Datos!N50)</f>
        <v>199.06</v>
      </c>
      <c r="O47" s="10" t="str">
        <f>IF(Datos!O50="","",Datos!O50)</f>
        <v/>
      </c>
    </row>
    <row r="48" spans="1:40" s="1" customFormat="1">
      <c r="A48" s="7"/>
      <c r="B48" s="9" t="s">
        <v>98</v>
      </c>
      <c r="C48" s="33">
        <f t="shared" ref="C48:D48" si="17">IF(SUM(C38:C47)=0,"",SUM(C38:C47))</f>
        <v>200.65000000000003</v>
      </c>
      <c r="D48" s="33">
        <f t="shared" si="17"/>
        <v>199.66999999999996</v>
      </c>
      <c r="E48" s="33" t="str">
        <f>IF(SUM(E38:E47)=0,"",SUM(E38:E47))</f>
        <v/>
      </c>
      <c r="F48" s="11"/>
      <c r="G48" s="9" t="s">
        <v>98</v>
      </c>
      <c r="H48" s="33">
        <f t="shared" ref="H48" si="18">IF(SUM(H38:H47)=0,"",SUM(H38:H47))</f>
        <v>803.31</v>
      </c>
      <c r="I48" s="33">
        <f t="shared" ref="I48" si="19">IF(SUM(I38:I47)=0,"",SUM(I38:I47))</f>
        <v>799.00000000000011</v>
      </c>
      <c r="J48" s="33" t="str">
        <f>IF(SUM(J38:J47)=0,"",SUM(J38:J47))</f>
        <v/>
      </c>
      <c r="L48" s="9" t="s">
        <v>98</v>
      </c>
      <c r="M48" s="33">
        <f t="shared" ref="M48" si="20">IF(SUM(M38:M47)=0,"",SUM(M38:M47))</f>
        <v>1996.96</v>
      </c>
      <c r="N48" s="33">
        <f t="shared" ref="N48" si="21">IF(SUM(N38:N47)=0,"",SUM(N38:N47))</f>
        <v>2003.57</v>
      </c>
      <c r="O48" s="33" t="str">
        <f>IF(SUM(O38:O47)=0,"",SUM(O38:O47))</f>
        <v/>
      </c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</row>
    <row r="49" spans="1:40" s="1" customFormat="1">
      <c r="A49" s="7"/>
      <c r="B49" s="9" t="s">
        <v>103</v>
      </c>
      <c r="C49" s="33">
        <f>IF(SUM(C48:E48)=0,"",SUM(C48:E48))</f>
        <v>400.32</v>
      </c>
      <c r="D49" s="131"/>
      <c r="E49" s="131"/>
      <c r="F49" s="11"/>
      <c r="G49" s="9" t="s">
        <v>103</v>
      </c>
      <c r="H49" s="33">
        <f>IF(SUM(H48:J48)=0,"",SUM(H48:J48))</f>
        <v>1602.31</v>
      </c>
      <c r="I49" s="131"/>
      <c r="J49" s="131"/>
      <c r="L49" s="9" t="s">
        <v>103</v>
      </c>
      <c r="M49" s="33">
        <f>IF(SUM(M48:O48)=0,"",SUM(M48:O48))</f>
        <v>4000.5299999999997</v>
      </c>
      <c r="N49" s="131"/>
      <c r="O49" s="131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8"/>
      <c r="AH49" s="28"/>
      <c r="AI49" s="32"/>
      <c r="AJ49" s="28"/>
    </row>
    <row r="50" spans="1:40" s="1" customFormat="1">
      <c r="A50" s="7"/>
      <c r="B50" s="138" t="s">
        <v>23</v>
      </c>
      <c r="C50" s="34">
        <f>IFERROR(VAR(C38:C47),"")</f>
        <v>7.2027777777777913E-2</v>
      </c>
      <c r="D50" s="34">
        <f t="shared" ref="D50:E50" si="22">IFERROR(VAR(D38:D47),"")</f>
        <v>2.9645555555555744E-2</v>
      </c>
      <c r="E50" s="34" t="str">
        <f t="shared" si="22"/>
        <v/>
      </c>
      <c r="F50" s="11"/>
      <c r="G50" s="138" t="s">
        <v>23</v>
      </c>
      <c r="H50" s="34">
        <f>IFERROR(VAR(H38:H47),"")</f>
        <v>0.98789888888888477</v>
      </c>
      <c r="I50" s="34">
        <f t="shared" ref="I50:J50" si="23">IFERROR(VAR(I38:I47),"")</f>
        <v>1.0334666666666652</v>
      </c>
      <c r="J50" s="34" t="str">
        <f t="shared" si="23"/>
        <v/>
      </c>
      <c r="L50" s="138" t="s">
        <v>23</v>
      </c>
      <c r="M50" s="34">
        <f>IFERROR(VAR(M38:M47),"")</f>
        <v>8.3054044444444504</v>
      </c>
      <c r="N50" s="34">
        <f t="shared" ref="N50" si="24">IFERROR(VAR(N38:N47),"")</f>
        <v>6.9247122222222277</v>
      </c>
      <c r="O50" s="34" t="str">
        <f>IFERROR(VAR(O38:O47),"")</f>
        <v/>
      </c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30"/>
      <c r="AH50" s="30"/>
      <c r="AI50" s="31"/>
      <c r="AJ50" s="30"/>
    </row>
    <row r="51" spans="1:40" s="1" customFormat="1">
      <c r="A51" s="7"/>
      <c r="B51" s="8" t="s">
        <v>22</v>
      </c>
      <c r="C51" s="9">
        <f>IF(COUNT(C38:C47)=0,"",COUNT(C38:C47))</f>
        <v>10</v>
      </c>
      <c r="D51" s="9">
        <f t="shared" ref="D51:E51" si="25">IF(COUNT(D38:D47)=0,"",COUNT(D38:D47))</f>
        <v>10</v>
      </c>
      <c r="E51" s="9" t="str">
        <f t="shared" si="25"/>
        <v/>
      </c>
      <c r="G51" s="8" t="s">
        <v>22</v>
      </c>
      <c r="H51" s="9">
        <f>IF(COUNT(H38:H47)=0,"",COUNT(H38:H47))</f>
        <v>10</v>
      </c>
      <c r="I51" s="9">
        <f t="shared" ref="I51:J51" si="26">IF(COUNT(I38:I47)=0,"",COUNT(I38:I47))</f>
        <v>10</v>
      </c>
      <c r="J51" s="9" t="str">
        <f t="shared" si="26"/>
        <v/>
      </c>
      <c r="L51" s="8" t="s">
        <v>22</v>
      </c>
      <c r="M51" s="9">
        <f>IF(COUNT(M38:M47)=0,"",COUNT(M38:M47))</f>
        <v>10</v>
      </c>
      <c r="N51" s="9">
        <f t="shared" ref="N51:O51" si="27">IF(COUNT(N38:N47)=0,"",COUNT(N38:N47))</f>
        <v>10</v>
      </c>
      <c r="O51" s="9" t="str">
        <f t="shared" si="27"/>
        <v/>
      </c>
    </row>
    <row r="52" spans="1:40" s="1" customFormat="1">
      <c r="A52" s="7"/>
      <c r="B52" s="8"/>
      <c r="C52" s="35">
        <f>IFERROR(((C51-1)*C50),"")</f>
        <v>0.64825000000000121</v>
      </c>
      <c r="D52" s="35">
        <f t="shared" ref="D52:E52" si="28">IFERROR(((D51-1)*D50),"")</f>
        <v>0.26681000000000171</v>
      </c>
      <c r="E52" s="35" t="str">
        <f t="shared" si="28"/>
        <v/>
      </c>
      <c r="G52" s="8"/>
      <c r="H52" s="35">
        <f>IFERROR(((H51-1)*H50),"")</f>
        <v>8.8910899999999629</v>
      </c>
      <c r="I52" s="35">
        <f t="shared" ref="I52" si="29">IFERROR(((I51-1)*I50),"")</f>
        <v>9.3011999999999873</v>
      </c>
      <c r="J52" s="35" t="str">
        <f t="shared" ref="J52" si="30">IFERROR(((J51-1)*J50),"")</f>
        <v/>
      </c>
      <c r="L52" s="8"/>
      <c r="M52" s="35">
        <f>IFERROR(((M51-1)*M50),"")</f>
        <v>74.748640000000051</v>
      </c>
      <c r="N52" s="35">
        <f t="shared" ref="N52" si="31">IFERROR(((N51-1)*N50),"")</f>
        <v>62.322410000000048</v>
      </c>
      <c r="O52" s="35" t="str">
        <f>IFERROR(((O51-1)*O50),"")</f>
        <v/>
      </c>
      <c r="AJ52" s="23"/>
      <c r="AK52" s="23"/>
      <c r="AL52" s="23"/>
      <c r="AM52" s="23"/>
      <c r="AN52" s="23"/>
    </row>
    <row r="53" spans="1:40" s="1" customFormat="1">
      <c r="A53" s="7"/>
      <c r="B53" s="8" t="s">
        <v>20</v>
      </c>
      <c r="C53" s="9">
        <f>IF(COUNT(C38:E47)=0,"",COUNT(C38:E47))</f>
        <v>20</v>
      </c>
      <c r="D53" s="36" t="s">
        <v>31</v>
      </c>
      <c r="E53" s="9">
        <f>IF(3-COUNTBLANK(C37:E37)=0,"",3-COUNTBLANK(C37:E37))</f>
        <v>2</v>
      </c>
      <c r="G53" s="8" t="s">
        <v>20</v>
      </c>
      <c r="H53" s="9">
        <f>IF(COUNT(H38:J47)=0,"",COUNT(H38:J47))</f>
        <v>20</v>
      </c>
      <c r="I53" s="36" t="s">
        <v>31</v>
      </c>
      <c r="J53" s="9">
        <f>IF(3-COUNTBLANK(H37:J37)=0,"",3-COUNTBLANK(H37:J37))</f>
        <v>2</v>
      </c>
      <c r="L53" s="8" t="s">
        <v>20</v>
      </c>
      <c r="M53" s="9">
        <f>IF(COUNT(M38:O47)=0,"",COUNT(M38:O47))</f>
        <v>20</v>
      </c>
      <c r="N53" s="36" t="s">
        <v>31</v>
      </c>
      <c r="O53" s="9">
        <f>IF(3-COUNTBLANK(M37:O37)=0,"",3-COUNTBLANK(M37:O37))</f>
        <v>2</v>
      </c>
      <c r="AJ53" s="28"/>
    </row>
    <row r="54" spans="1:40" s="1" customFormat="1" ht="14" thickBot="1">
      <c r="AJ54" s="30"/>
    </row>
    <row r="55" spans="1:40" s="1" customFormat="1" ht="24">
      <c r="A55" s="7"/>
      <c r="B55" s="37" t="s">
        <v>99</v>
      </c>
      <c r="C55" s="37" t="s">
        <v>100</v>
      </c>
      <c r="D55" s="37" t="s">
        <v>101</v>
      </c>
      <c r="E55" s="37" t="s">
        <v>102</v>
      </c>
      <c r="F55" s="38"/>
      <c r="G55" s="37" t="s">
        <v>99</v>
      </c>
      <c r="H55" s="37" t="s">
        <v>100</v>
      </c>
      <c r="I55" s="37" t="s">
        <v>101</v>
      </c>
      <c r="J55" s="37" t="s">
        <v>102</v>
      </c>
      <c r="K55" s="38"/>
      <c r="L55" s="37" t="s">
        <v>99</v>
      </c>
      <c r="M55" s="37" t="s">
        <v>100</v>
      </c>
      <c r="N55" s="37" t="s">
        <v>101</v>
      </c>
      <c r="O55" s="37" t="s">
        <v>102</v>
      </c>
      <c r="P55" s="15" t="s">
        <v>29</v>
      </c>
      <c r="Q55" s="133">
        <f>Datos!Q40</f>
        <v>9.0000000000000002E-6</v>
      </c>
    </row>
    <row r="56" spans="1:40" s="1" customFormat="1" ht="24" customHeight="1">
      <c r="A56" s="7"/>
      <c r="B56" s="39" t="s">
        <v>104</v>
      </c>
      <c r="C56" s="40">
        <f>IF(E53="","",(SUMSQ(C48:E48)/C51)-(POWER(C49,2)/C53))</f>
        <v>4.8020000001088192E-2</v>
      </c>
      <c r="D56" s="41">
        <f>IF(E53="","",E53-1)</f>
        <v>1</v>
      </c>
      <c r="E56" s="42">
        <f>IF(E53="","",C56/D56)</f>
        <v>4.8020000001088192E-2</v>
      </c>
      <c r="F56" s="38"/>
      <c r="G56" s="39" t="s">
        <v>104</v>
      </c>
      <c r="H56" s="40">
        <f>IF(J53="","",(SUMSQ(H48:J48)/H51)-(POWER(H49,2)/H53))</f>
        <v>0.92880500000319444</v>
      </c>
      <c r="I56" s="41">
        <f>IF(J53="","",J53-1)</f>
        <v>1</v>
      </c>
      <c r="J56" s="42">
        <f>IF(J53="","",H56/I56)</f>
        <v>0.92880500000319444</v>
      </c>
      <c r="K56" s="38"/>
      <c r="L56" s="39" t="s">
        <v>104</v>
      </c>
      <c r="M56" s="40">
        <f>IF(O53="","",(SUMSQ(M48:O48)/M51)-(POWER(M49,2)/M53))</f>
        <v>2.1846050001913682</v>
      </c>
      <c r="N56" s="41">
        <f>IF(O53="","",O53-1)</f>
        <v>1</v>
      </c>
      <c r="O56" s="42">
        <f>IF(O53="","",M56/N56)</f>
        <v>2.1846050001913682</v>
      </c>
      <c r="P56" s="16" t="s">
        <v>30</v>
      </c>
      <c r="Q56" s="134">
        <f>Datos!Q41</f>
        <v>1.21E-2</v>
      </c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</row>
    <row r="57" spans="1:40" s="1" customFormat="1" ht="24" customHeight="1">
      <c r="A57" s="7"/>
      <c r="B57" s="43" t="s">
        <v>105</v>
      </c>
      <c r="C57" s="44">
        <f>IF(E53="","",SUM(C52:E52))</f>
        <v>0.91506000000000287</v>
      </c>
      <c r="D57" s="41">
        <f>IF(E53="","",C53-E53)</f>
        <v>18</v>
      </c>
      <c r="E57" s="44">
        <f>IF(E53="","",C57/D57)</f>
        <v>5.0836666666666828E-2</v>
      </c>
      <c r="F57" s="38"/>
      <c r="G57" s="43" t="s">
        <v>105</v>
      </c>
      <c r="H57" s="44">
        <f>IF(J53="","",SUM(H52:J52))</f>
        <v>18.19228999999995</v>
      </c>
      <c r="I57" s="41">
        <f>IF(J53="","",H53-J53)</f>
        <v>18</v>
      </c>
      <c r="J57" s="44">
        <f>IF(J53="","",H57/I57)</f>
        <v>1.0106827777777749</v>
      </c>
      <c r="K57" s="38"/>
      <c r="L57" s="43" t="s">
        <v>105</v>
      </c>
      <c r="M57" s="44">
        <f>IF(O53="","",SUM(M52:O52))</f>
        <v>137.0710500000001</v>
      </c>
      <c r="N57" s="41">
        <f>IF(O53="","",M53-O53)</f>
        <v>18</v>
      </c>
      <c r="O57" s="44">
        <f>IF(O53="","",M57/N57)</f>
        <v>7.615058333333339</v>
      </c>
      <c r="P57" s="16" t="s">
        <v>116</v>
      </c>
      <c r="Q57" s="134">
        <f>Datos!Q42</f>
        <v>-2.01E-2</v>
      </c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8"/>
      <c r="AH57" s="28"/>
      <c r="AI57" s="32"/>
      <c r="AJ57" s="28"/>
    </row>
    <row r="58" spans="1:40" s="1" customFormat="1" ht="24" customHeight="1" thickBot="1">
      <c r="A58" s="7"/>
      <c r="B58" s="45" t="s">
        <v>69</v>
      </c>
      <c r="C58" s="46">
        <f>IF(E53="","",SUM(C56:C57))</f>
        <v>0.96308000000109106</v>
      </c>
      <c r="D58" s="47">
        <f>IF(E53="","",SUM(D56:D57))</f>
        <v>19</v>
      </c>
      <c r="E58" s="47"/>
      <c r="F58" s="38"/>
      <c r="G58" s="45" t="s">
        <v>69</v>
      </c>
      <c r="H58" s="46">
        <f>IF(J53="","",SUM(H56:H57))</f>
        <v>19.121095000003145</v>
      </c>
      <c r="I58" s="47">
        <f>IF(J53="","",SUM(I56:I57))</f>
        <v>19</v>
      </c>
      <c r="J58" s="47"/>
      <c r="K58" s="38"/>
      <c r="L58" s="45" t="s">
        <v>69</v>
      </c>
      <c r="M58" s="46">
        <f>IF(O53="","",SUM(M56:M57))</f>
        <v>139.25565500019147</v>
      </c>
      <c r="N58" s="47">
        <f>IF(O53="","",SUM(N56:N57))</f>
        <v>19</v>
      </c>
      <c r="O58" s="47"/>
    </row>
    <row r="59" spans="1:40" s="1" customFormat="1">
      <c r="A59" s="7"/>
      <c r="B59" s="48"/>
      <c r="C59" s="48"/>
      <c r="D59" s="48"/>
      <c r="E59" s="48"/>
      <c r="G59" s="48"/>
      <c r="H59" s="48"/>
      <c r="I59" s="48"/>
      <c r="J59" s="48"/>
      <c r="L59" s="48"/>
      <c r="M59" s="48"/>
      <c r="N59" s="48"/>
      <c r="O59" s="48"/>
    </row>
    <row r="60" spans="1:40" s="1" customFormat="1" ht="14">
      <c r="A60" s="7"/>
      <c r="B60" s="49" t="s">
        <v>68</v>
      </c>
      <c r="C60" s="50">
        <f>IF(E53="","",E56/E57)</f>
        <v>0.94459379714945979</v>
      </c>
      <c r="D60" s="49" t="s">
        <v>108</v>
      </c>
      <c r="E60" s="50">
        <f>IF(E53="","",_xlfn.F.DIST.RT(C60,D56,D57))</f>
        <v>0.34397953820006244</v>
      </c>
      <c r="G60" s="49" t="s">
        <v>68</v>
      </c>
      <c r="H60" s="50">
        <f>IF(J53="","",J56/J57)</f>
        <v>0.91898765906092894</v>
      </c>
      <c r="I60" s="49" t="s">
        <v>108</v>
      </c>
      <c r="J60" s="50">
        <f>IF(J53="","",_xlfn.F.DIST.RT(H60,I56,I57))</f>
        <v>0.350441342736866</v>
      </c>
      <c r="L60" s="49" t="s">
        <v>68</v>
      </c>
      <c r="M60" s="50">
        <f>IF(O53="","",O56/O57)</f>
        <v>0.28687961464834916</v>
      </c>
      <c r="N60" s="49" t="s">
        <v>108</v>
      </c>
      <c r="O60" s="50">
        <f>IF(O53="","",_xlfn.F.DIST.RT(M60,N56,N57))</f>
        <v>0.59878347275548383</v>
      </c>
    </row>
    <row r="61" spans="1:40" s="1" customFormat="1"/>
    <row r="62" spans="1:40" s="1" customFormat="1">
      <c r="A62" s="7"/>
      <c r="B62" s="492" t="s">
        <v>106</v>
      </c>
      <c r="C62" s="493"/>
      <c r="D62" s="494"/>
      <c r="E62" s="50">
        <f>E57</f>
        <v>5.0836666666666828E-2</v>
      </c>
      <c r="G62" s="492" t="s">
        <v>106</v>
      </c>
      <c r="H62" s="493"/>
      <c r="I62" s="494"/>
      <c r="J62" s="50">
        <f>J57</f>
        <v>1.0106827777777749</v>
      </c>
      <c r="L62" s="492" t="s">
        <v>106</v>
      </c>
      <c r="M62" s="493"/>
      <c r="N62" s="494"/>
      <c r="O62" s="50">
        <f>O57</f>
        <v>7.615058333333339</v>
      </c>
    </row>
    <row r="63" spans="1:40" s="1" customFormat="1">
      <c r="A63" s="7"/>
      <c r="B63" s="492" t="s">
        <v>107</v>
      </c>
      <c r="C63" s="493"/>
      <c r="D63" s="494"/>
      <c r="E63" s="51">
        <f>IF(E53="","",SQRT(E62))</f>
        <v>0.22546987973267477</v>
      </c>
      <c r="G63" s="492" t="s">
        <v>107</v>
      </c>
      <c r="H63" s="493"/>
      <c r="I63" s="494"/>
      <c r="J63" s="51">
        <f>IF(J53="","",SQRT(J62))</f>
        <v>1.0053271993623643</v>
      </c>
      <c r="L63" s="492" t="s">
        <v>107</v>
      </c>
      <c r="M63" s="493"/>
      <c r="N63" s="494"/>
      <c r="O63" s="51">
        <f>IF(O53="","",SQRT(O62))</f>
        <v>2.7595395147258426</v>
      </c>
    </row>
    <row r="64" spans="1:40" s="1" customFormat="1">
      <c r="A64" s="7"/>
      <c r="B64" s="492" t="s">
        <v>109</v>
      </c>
      <c r="C64" s="493"/>
      <c r="D64" s="494"/>
      <c r="E64" s="50">
        <f>IFERROR((E56-E57)/C51,"")</f>
        <v>-2.8166666655786362E-4</v>
      </c>
      <c r="G64" s="492" t="s">
        <v>109</v>
      </c>
      <c r="H64" s="493"/>
      <c r="I64" s="494"/>
      <c r="J64" s="50">
        <f>IFERROR((J56-J57)/H51,"")</f>
        <v>-8.1877777774580496E-3</v>
      </c>
      <c r="L64" s="492" t="s">
        <v>109</v>
      </c>
      <c r="M64" s="493"/>
      <c r="N64" s="494"/>
      <c r="O64" s="50">
        <f>IFERROR((O56-O57)/M51,"")</f>
        <v>-0.54304533331419713</v>
      </c>
    </row>
    <row r="65" spans="1:47" s="1" customFormat="1">
      <c r="A65" s="7"/>
      <c r="B65" s="495" t="s">
        <v>110</v>
      </c>
      <c r="C65" s="496"/>
      <c r="D65" s="497"/>
      <c r="E65" s="52">
        <f>IF(E53="","",SQRT(MAX(0,E64)))</f>
        <v>0</v>
      </c>
      <c r="G65" s="495" t="s">
        <v>110</v>
      </c>
      <c r="H65" s="496"/>
      <c r="I65" s="497"/>
      <c r="J65" s="52">
        <f>IF(J53="","",SQRT(MAX(0,J64)))</f>
        <v>0</v>
      </c>
      <c r="L65" s="495" t="s">
        <v>110</v>
      </c>
      <c r="M65" s="496"/>
      <c r="N65" s="497"/>
      <c r="O65" s="52">
        <f>IF(O53="","",SQRT(MAX(0,O64)))</f>
        <v>0</v>
      </c>
    </row>
    <row r="66" spans="1:47" s="1" customFormat="1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</row>
    <row r="67" spans="1:47" s="1" customFormat="1">
      <c r="A67" s="7"/>
      <c r="B67" s="487" t="s">
        <v>111</v>
      </c>
      <c r="C67" s="488"/>
      <c r="D67" s="489"/>
      <c r="E67" s="51">
        <f>IFERROR(SQRT(POWER(E63,2)+POWER(E65,2)),"")</f>
        <v>0.22546987973267477</v>
      </c>
      <c r="G67" s="487" t="s">
        <v>111</v>
      </c>
      <c r="H67" s="488"/>
      <c r="I67" s="489"/>
      <c r="J67" s="51">
        <f>IFERROR(SQRT(POWER(J63,2)+POWER(J65,2)),"")</f>
        <v>1.0053271993623643</v>
      </c>
      <c r="L67" s="487" t="s">
        <v>111</v>
      </c>
      <c r="M67" s="488"/>
      <c r="N67" s="489"/>
      <c r="O67" s="51">
        <f>IFERROR(SQRT(POWER(O63,2)+POWER(O65,2)),"")</f>
        <v>2.7595395147258426</v>
      </c>
    </row>
    <row r="68" spans="1:47">
      <c r="A68" s="1"/>
      <c r="B68" s="1"/>
      <c r="C68" s="1"/>
      <c r="D68" s="1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1"/>
      <c r="AH68" s="1"/>
      <c r="AI68" s="1"/>
      <c r="AJ68" s="1"/>
      <c r="AK68" s="1"/>
      <c r="AL68" s="1"/>
      <c r="AM68" s="3"/>
      <c r="AN68" s="3"/>
      <c r="AO68" s="3"/>
      <c r="AP68" s="3"/>
      <c r="AQ68" s="3"/>
      <c r="AR68" s="3"/>
      <c r="AS68" s="3"/>
      <c r="AT68" s="3"/>
      <c r="AU68" s="3"/>
    </row>
    <row r="69" spans="1:47" s="54" customFormat="1" ht="30" customHeight="1">
      <c r="A69" s="53"/>
      <c r="B69" s="475" t="s">
        <v>147</v>
      </c>
      <c r="C69" s="475"/>
      <c r="D69" s="475"/>
      <c r="E69" s="475"/>
      <c r="F69" s="475"/>
      <c r="G69" s="475"/>
      <c r="H69" s="475"/>
      <c r="I69" s="475"/>
      <c r="J69" s="475"/>
      <c r="K69" s="475"/>
      <c r="L69" s="475"/>
      <c r="M69" s="475"/>
      <c r="N69" s="475"/>
      <c r="O69" s="475"/>
      <c r="P69" s="475"/>
      <c r="Q69" s="475"/>
      <c r="R69" s="475"/>
      <c r="S69" s="475"/>
      <c r="T69" s="475"/>
      <c r="U69" s="475"/>
      <c r="V69" s="475"/>
      <c r="W69" s="475"/>
      <c r="X69" s="475"/>
      <c r="Y69" s="475"/>
      <c r="Z69" s="475"/>
      <c r="AA69" s="475"/>
      <c r="AB69" s="475"/>
      <c r="AC69" s="475"/>
      <c r="AD69" s="475"/>
      <c r="AE69" s="475"/>
      <c r="AF69" s="475"/>
      <c r="AG69" s="475"/>
      <c r="AH69" s="475"/>
      <c r="AI69" s="475"/>
      <c r="AJ69" s="475"/>
      <c r="AK69" s="475"/>
    </row>
    <row r="70" spans="1:47" ht="15">
      <c r="A70" s="1"/>
      <c r="B70" s="55" t="s">
        <v>211</v>
      </c>
      <c r="C70" s="56"/>
      <c r="D70" s="56"/>
      <c r="E70" s="56"/>
      <c r="F70" s="56"/>
      <c r="G70" s="56"/>
      <c r="H70" s="57"/>
      <c r="I70" s="57"/>
      <c r="J70" s="2"/>
      <c r="K70" s="2"/>
      <c r="L70" s="1"/>
      <c r="M70" s="1"/>
      <c r="N70" s="1"/>
      <c r="O70" s="58"/>
      <c r="P70" s="58"/>
      <c r="Q70" s="1"/>
      <c r="AH70" s="1"/>
      <c r="AI70" s="1"/>
      <c r="AJ70" s="1"/>
      <c r="AK70" s="1"/>
      <c r="AL70" s="1"/>
      <c r="AM70" s="3"/>
      <c r="AN70" s="3"/>
      <c r="AO70" s="3"/>
      <c r="AP70" s="3"/>
      <c r="AQ70" s="3"/>
      <c r="AR70" s="3"/>
      <c r="AS70" s="3"/>
      <c r="AT70" s="3"/>
      <c r="AU70" s="3"/>
    </row>
    <row r="71" spans="1:47" ht="5.25" customHeight="1">
      <c r="A71" s="1"/>
      <c r="B71" s="55"/>
      <c r="C71" s="56"/>
      <c r="D71" s="56"/>
      <c r="E71" s="56"/>
      <c r="F71" s="56"/>
      <c r="G71" s="56"/>
      <c r="H71" s="57"/>
      <c r="I71" s="57"/>
      <c r="J71" s="2"/>
      <c r="K71" s="2"/>
      <c r="L71" s="1"/>
      <c r="M71" s="1"/>
      <c r="N71" s="1"/>
      <c r="O71" s="58"/>
      <c r="P71" s="58"/>
      <c r="Q71" s="1"/>
      <c r="AH71" s="1"/>
      <c r="AI71" s="1"/>
      <c r="AJ71" s="1"/>
      <c r="AK71" s="1"/>
      <c r="AL71" s="1"/>
      <c r="AM71" s="3"/>
      <c r="AN71" s="3"/>
      <c r="AO71" s="3"/>
      <c r="AP71" s="3"/>
      <c r="AQ71" s="3"/>
      <c r="AR71" s="3"/>
      <c r="AS71" s="3"/>
      <c r="AT71" s="3"/>
      <c r="AU71" s="3"/>
    </row>
    <row r="72" spans="1:47" ht="18.5" customHeight="1">
      <c r="A72" s="1"/>
      <c r="B72" s="472" t="s">
        <v>94</v>
      </c>
      <c r="C72" s="472"/>
      <c r="D72" s="470" t="s">
        <v>36</v>
      </c>
      <c r="E72" s="470"/>
      <c r="F72" s="472" t="s">
        <v>95</v>
      </c>
      <c r="G72" s="472"/>
      <c r="H72" s="470" t="str">
        <f>P_DIS!U6</f>
        <v xml:space="preserve">EQ-068-ILL	</v>
      </c>
      <c r="I72" s="470"/>
      <c r="J72" s="3"/>
      <c r="K72" s="2"/>
      <c r="L72" s="1"/>
      <c r="M72" s="1"/>
      <c r="N72" s="1"/>
      <c r="O72" s="58"/>
      <c r="P72" s="58"/>
      <c r="Q72" s="1"/>
      <c r="AH72" s="1"/>
      <c r="AI72" s="1"/>
      <c r="AJ72" s="1"/>
      <c r="AK72" s="1"/>
      <c r="AL72" s="1"/>
      <c r="AM72" s="3"/>
      <c r="AN72" s="3"/>
      <c r="AO72" s="3"/>
      <c r="AP72" s="3"/>
      <c r="AQ72" s="3"/>
      <c r="AR72" s="3"/>
      <c r="AS72" s="3"/>
      <c r="AT72" s="3"/>
      <c r="AU72" s="3"/>
    </row>
    <row r="73" spans="1:47" ht="15">
      <c r="A73" s="1"/>
      <c r="B73" s="55"/>
      <c r="C73" s="56"/>
      <c r="D73" s="56"/>
      <c r="E73" s="56"/>
      <c r="F73" s="56"/>
      <c r="G73" s="56"/>
      <c r="H73" s="57"/>
      <c r="I73" s="57"/>
      <c r="J73" s="2"/>
      <c r="K73" s="2"/>
      <c r="L73" s="1"/>
      <c r="O73" s="58"/>
      <c r="P73" s="58"/>
      <c r="Q73" s="1"/>
      <c r="AH73" s="1"/>
      <c r="AI73" s="1"/>
      <c r="AJ73" s="1"/>
      <c r="AK73" s="1"/>
      <c r="AL73" s="1"/>
      <c r="AM73" s="3"/>
      <c r="AN73" s="3"/>
      <c r="AO73" s="3"/>
      <c r="AP73" s="3"/>
      <c r="AQ73" s="3"/>
      <c r="AR73" s="3"/>
      <c r="AS73" s="3"/>
      <c r="AT73" s="3"/>
      <c r="AU73" s="3"/>
    </row>
    <row r="74" spans="1:47" ht="36" customHeight="1">
      <c r="A74" s="1"/>
      <c r="B74" s="59" t="s">
        <v>84</v>
      </c>
      <c r="C74" s="137" t="s">
        <v>89</v>
      </c>
      <c r="D74" s="60" t="s">
        <v>91</v>
      </c>
      <c r="E74" s="61"/>
      <c r="F74" s="30"/>
      <c r="G74" s="30"/>
      <c r="I74" s="56"/>
      <c r="J74" s="62" t="s">
        <v>63</v>
      </c>
      <c r="K74" s="22"/>
      <c r="L74" s="22"/>
      <c r="M74" s="22"/>
      <c r="N74" s="22"/>
      <c r="O74" s="22"/>
      <c r="P74" s="22"/>
      <c r="Q74" s="1"/>
      <c r="AH74" s="1"/>
      <c r="AI74" s="1"/>
      <c r="AJ74" s="1"/>
      <c r="AK74" s="1"/>
      <c r="AL74" s="1"/>
      <c r="AM74" s="3"/>
      <c r="AN74" s="3"/>
      <c r="AO74" s="3"/>
      <c r="AP74" s="3"/>
      <c r="AQ74" s="3"/>
      <c r="AR74" s="3"/>
      <c r="AS74" s="3"/>
      <c r="AT74" s="3"/>
      <c r="AU74" s="3"/>
    </row>
    <row r="75" spans="1:47" s="23" customFormat="1" ht="15">
      <c r="A75" s="22"/>
      <c r="B75" s="63">
        <f>P_DIS!F15</f>
        <v>0</v>
      </c>
      <c r="C75" s="13">
        <f>P_DIS!H15</f>
        <v>0</v>
      </c>
      <c r="D75" s="140">
        <f t="shared" ref="D75:D81" si="32">POWER(B75-$H$78,2)</f>
        <v>0.19612244897959186</v>
      </c>
      <c r="E75" s="61"/>
      <c r="F75" s="490" t="s">
        <v>86</v>
      </c>
      <c r="G75" s="490"/>
      <c r="H75" s="138">
        <f>COUNT(B75:B81)</f>
        <v>7</v>
      </c>
      <c r="I75" s="56"/>
      <c r="J75" s="64" t="s">
        <v>64</v>
      </c>
      <c r="K75" s="64" t="s">
        <v>65</v>
      </c>
      <c r="L75" s="65">
        <f>INTERCEPT(C75:C81,B75:B81)</f>
        <v>2.8156996587030414E-3</v>
      </c>
      <c r="M75" s="64" t="s">
        <v>13</v>
      </c>
      <c r="N75" s="66">
        <f>SLOPE(C75:C81,B75:B81)</f>
        <v>0.72170648464163822</v>
      </c>
      <c r="O75" s="67" t="s">
        <v>66</v>
      </c>
      <c r="P75" s="67" t="s">
        <v>67</v>
      </c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22"/>
      <c r="AL75" s="22"/>
    </row>
    <row r="76" spans="1:47" s="23" customFormat="1" ht="15">
      <c r="A76" s="22"/>
      <c r="B76" s="63">
        <f>P_DIS!F16</f>
        <v>0.1</v>
      </c>
      <c r="C76" s="13">
        <f>P_DIS!H16</f>
        <v>7.0999999999999994E-2</v>
      </c>
      <c r="D76" s="140">
        <f t="shared" si="32"/>
        <v>0.11755102040816327</v>
      </c>
      <c r="E76" s="61"/>
      <c r="F76" s="490" t="s">
        <v>85</v>
      </c>
      <c r="G76" s="490"/>
      <c r="H76" s="34">
        <f>STEYX(C75:C81,B75:B81)</f>
        <v>8.9361787192496767E-3</v>
      </c>
      <c r="I76" s="56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22"/>
      <c r="AL76" s="22"/>
    </row>
    <row r="77" spans="1:47" s="23" customFormat="1" ht="15">
      <c r="A77" s="22"/>
      <c r="B77" s="63">
        <f>P_DIS!F17</f>
        <v>0.2</v>
      </c>
      <c r="C77" s="13">
        <f>P_DIS!H17</f>
        <v>0.14599999999999999</v>
      </c>
      <c r="D77" s="140">
        <f t="shared" si="32"/>
        <v>5.8979591836734707E-2</v>
      </c>
      <c r="E77" s="61"/>
      <c r="F77" s="490" t="s">
        <v>87</v>
      </c>
      <c r="G77" s="490"/>
      <c r="H77" s="13">
        <f>AVERAGE(C75:C81)</f>
        <v>0.3224285714285714</v>
      </c>
      <c r="I77" s="56"/>
      <c r="J77" s="68" t="s">
        <v>92</v>
      </c>
      <c r="K77" s="68"/>
      <c r="L77" s="69">
        <f>H76/N75</f>
        <v>1.2382012507046984E-2</v>
      </c>
      <c r="M77" s="22"/>
      <c r="N77" s="22"/>
      <c r="O77" s="22"/>
      <c r="P77" s="22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22"/>
      <c r="AL77" s="22"/>
    </row>
    <row r="78" spans="1:47" s="23" customFormat="1" ht="15">
      <c r="A78" s="22"/>
      <c r="B78" s="63">
        <f>P_DIS!F18</f>
        <v>0.4</v>
      </c>
      <c r="C78" s="13">
        <f>P_DIS!H18</f>
        <v>0.30399999999999999</v>
      </c>
      <c r="D78" s="140">
        <f t="shared" si="32"/>
        <v>1.8367346938775522E-3</v>
      </c>
      <c r="E78" s="61"/>
      <c r="F78" s="490" t="s">
        <v>88</v>
      </c>
      <c r="G78" s="490"/>
      <c r="H78" s="138">
        <f>AVERAGE(B75:B81)</f>
        <v>0.44285714285714289</v>
      </c>
      <c r="I78" s="57"/>
      <c r="J78" s="68" t="s">
        <v>93</v>
      </c>
      <c r="K78" s="68"/>
      <c r="L78" s="69">
        <f>(1/H79)+(1/H75)</f>
        <v>1.1428571428571428</v>
      </c>
      <c r="M78" s="19"/>
      <c r="N78" s="19"/>
      <c r="O78" s="22"/>
      <c r="P78" s="22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22"/>
      <c r="AL78" s="22"/>
    </row>
    <row r="79" spans="1:47" s="23" customFormat="1" ht="15">
      <c r="A79" s="22"/>
      <c r="B79" s="63">
        <f>P_DIS!F19</f>
        <v>0.6</v>
      </c>
      <c r="C79" s="13">
        <f>P_DIS!H19</f>
        <v>0.442</v>
      </c>
      <c r="D79" s="140">
        <f t="shared" si="32"/>
        <v>2.4693877551020389E-2</v>
      </c>
      <c r="E79" s="61"/>
      <c r="F79" s="491" t="s">
        <v>96</v>
      </c>
      <c r="G79" s="491"/>
      <c r="H79" s="70">
        <v>1</v>
      </c>
      <c r="I79" s="57"/>
      <c r="J79" s="68" t="s">
        <v>97</v>
      </c>
      <c r="K79" s="68"/>
      <c r="L79" s="69">
        <f>POWER(N75,2)*H80</f>
        <v>0.4360344378352024</v>
      </c>
      <c r="M79" s="61"/>
      <c r="N79" s="61"/>
      <c r="O79" s="61"/>
      <c r="P79" s="22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22"/>
      <c r="AL79" s="22"/>
    </row>
    <row r="80" spans="1:47" s="23" customFormat="1" ht="15">
      <c r="A80" s="22"/>
      <c r="B80" s="63">
        <f>P_DIS!F20</f>
        <v>0.8</v>
      </c>
      <c r="C80" s="13">
        <f>P_DIS!H20</f>
        <v>0.56699999999999995</v>
      </c>
      <c r="D80" s="140">
        <f t="shared" si="32"/>
        <v>0.12755102040816327</v>
      </c>
      <c r="E80" s="61"/>
      <c r="F80" s="486" t="s">
        <v>90</v>
      </c>
      <c r="G80" s="486"/>
      <c r="H80" s="71">
        <f>SUM(D75:D81)</f>
        <v>0.83714285714285719</v>
      </c>
      <c r="I80" s="61"/>
      <c r="J80" s="68"/>
      <c r="K80" s="68"/>
      <c r="L80" s="69"/>
      <c r="M80" s="61"/>
      <c r="N80" s="61"/>
      <c r="O80" s="61"/>
      <c r="P80" s="22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22"/>
      <c r="AL80" s="22"/>
    </row>
    <row r="81" spans="1:47" s="61" customFormat="1" ht="16.5" customHeight="1">
      <c r="A81" s="68"/>
      <c r="B81" s="63">
        <f>P_DIS!F21</f>
        <v>1</v>
      </c>
      <c r="C81" s="13">
        <f>P_DIS!H21</f>
        <v>0.72699999999999998</v>
      </c>
      <c r="D81" s="140">
        <f t="shared" si="32"/>
        <v>0.31040816326530613</v>
      </c>
      <c r="I81" s="68"/>
      <c r="P81" s="22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22"/>
      <c r="AL81" s="22"/>
    </row>
    <row r="82" spans="1:47" s="61" customFormat="1">
      <c r="A82" s="68"/>
      <c r="B82" s="68"/>
      <c r="C82" s="72"/>
      <c r="D82" s="68"/>
      <c r="E82" s="68"/>
      <c r="I82" s="68"/>
      <c r="P82" s="22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22"/>
      <c r="AL82" s="22"/>
    </row>
    <row r="83" spans="1:47" s="54" customFormat="1">
      <c r="A83" s="53"/>
      <c r="B83" s="55" t="s">
        <v>202</v>
      </c>
      <c r="D83" s="53"/>
      <c r="E83" s="53"/>
      <c r="F83" s="53"/>
      <c r="G83" s="53"/>
      <c r="H83" s="73"/>
      <c r="K83" s="74"/>
      <c r="L83" s="53"/>
      <c r="M83" s="53"/>
    </row>
    <row r="84" spans="1:47" ht="5.25" customHeight="1">
      <c r="A84" s="1"/>
      <c r="B84" s="55"/>
      <c r="C84" s="56"/>
      <c r="D84" s="56"/>
      <c r="E84" s="56"/>
      <c r="F84" s="56"/>
      <c r="G84" s="56"/>
      <c r="H84" s="57"/>
      <c r="I84" s="57"/>
      <c r="J84" s="2"/>
      <c r="K84" s="2"/>
      <c r="L84" s="1"/>
      <c r="M84" s="1"/>
      <c r="N84" s="1"/>
      <c r="O84" s="58"/>
      <c r="P84" s="58"/>
      <c r="Q84" s="1"/>
      <c r="AH84" s="1"/>
      <c r="AI84" s="1"/>
      <c r="AJ84" s="1"/>
      <c r="AK84" s="1"/>
      <c r="AL84" s="1"/>
      <c r="AM84" s="3"/>
      <c r="AN84" s="3"/>
      <c r="AO84" s="3"/>
      <c r="AP84" s="3"/>
      <c r="AQ84" s="3"/>
      <c r="AR84" s="3"/>
      <c r="AS84" s="3"/>
      <c r="AT84" s="3"/>
      <c r="AU84" s="3"/>
    </row>
    <row r="85" spans="1:47" ht="17.75" customHeight="1">
      <c r="A85" s="1"/>
      <c r="B85" s="469" t="s">
        <v>94</v>
      </c>
      <c r="C85" s="469"/>
      <c r="D85" s="470" t="str">
        <f>P_DIS!O7</f>
        <v>Probeta</v>
      </c>
      <c r="E85" s="470"/>
      <c r="F85" s="471" t="s">
        <v>95</v>
      </c>
      <c r="G85" s="472"/>
      <c r="H85" s="470" t="str">
        <f>P_DIS!U7</f>
        <v xml:space="preserve">MV-130-ILL	</v>
      </c>
      <c r="I85" s="470"/>
      <c r="J85" s="2"/>
      <c r="K85" s="479" t="s">
        <v>206</v>
      </c>
      <c r="L85" s="480"/>
      <c r="M85" s="481"/>
      <c r="N85" s="482"/>
      <c r="O85" s="479" t="s">
        <v>205</v>
      </c>
      <c r="P85" s="480"/>
      <c r="Q85" s="481"/>
      <c r="R85" s="482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H85" s="1"/>
      <c r="AI85" s="1"/>
      <c r="AJ85" s="1"/>
      <c r="AK85" s="1"/>
      <c r="AL85" s="1"/>
      <c r="AM85" s="3"/>
      <c r="AN85" s="3"/>
      <c r="AO85" s="3"/>
      <c r="AP85" s="3"/>
      <c r="AQ85" s="3"/>
      <c r="AR85" s="3"/>
      <c r="AS85" s="3"/>
      <c r="AT85" s="3"/>
      <c r="AU85" s="3"/>
    </row>
    <row r="86" spans="1:47" ht="17.75" customHeight="1">
      <c r="A86" s="1"/>
      <c r="B86" s="469" t="s">
        <v>127</v>
      </c>
      <c r="C86" s="469"/>
      <c r="D86" s="470" t="str">
        <f>P_DIS!Z8</f>
        <v>N° BD25-C-0708</v>
      </c>
      <c r="E86" s="470"/>
      <c r="F86" s="471" t="s">
        <v>216</v>
      </c>
      <c r="G86" s="472"/>
      <c r="H86" s="473">
        <f>P_DIS!Z9</f>
        <v>45902</v>
      </c>
      <c r="I86" s="473"/>
      <c r="J86" s="2"/>
      <c r="K86" s="479"/>
      <c r="L86" s="483"/>
      <c r="M86" s="484"/>
      <c r="N86" s="485"/>
      <c r="O86" s="479"/>
      <c r="P86" s="483"/>
      <c r="Q86" s="484"/>
      <c r="R86" s="485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/>
      <c r="AH86" s="1"/>
      <c r="AI86" s="1"/>
      <c r="AJ86" s="1"/>
      <c r="AK86" s="1"/>
      <c r="AL86" s="1"/>
      <c r="AM86" s="3"/>
      <c r="AN86" s="3"/>
      <c r="AO86" s="3"/>
      <c r="AP86" s="3"/>
      <c r="AQ86" s="3"/>
      <c r="AR86" s="3"/>
      <c r="AS86" s="3"/>
      <c r="AT86" s="3"/>
      <c r="AU86" s="3"/>
    </row>
    <row r="87" spans="1:47">
      <c r="A87" s="1"/>
      <c r="B87" s="1"/>
      <c r="C87" s="1"/>
      <c r="D87" s="1"/>
      <c r="E87" s="2"/>
      <c r="F87" s="1"/>
      <c r="G87" s="1"/>
      <c r="H87" s="2"/>
      <c r="I87" s="2"/>
      <c r="J87" s="2"/>
      <c r="K87" s="3"/>
      <c r="O87" s="1"/>
      <c r="P87" s="1"/>
      <c r="Q87" s="2"/>
      <c r="AH87" s="1"/>
      <c r="AI87" s="1"/>
      <c r="AJ87" s="1"/>
      <c r="AK87" s="1"/>
      <c r="AL87" s="1"/>
      <c r="AM87" s="3"/>
      <c r="AN87" s="3"/>
      <c r="AO87" s="3"/>
      <c r="AP87" s="3"/>
      <c r="AQ87" s="3"/>
      <c r="AR87" s="3"/>
      <c r="AS87" s="3"/>
      <c r="AT87" s="3"/>
      <c r="AU87" s="3"/>
    </row>
    <row r="88" spans="1:47">
      <c r="A88" s="1"/>
      <c r="B88" s="75" t="s">
        <v>8</v>
      </c>
      <c r="C88" s="76" t="s">
        <v>29</v>
      </c>
      <c r="D88" s="138">
        <f>Datos!D66</f>
        <v>5.2000000000000002E-9</v>
      </c>
      <c r="E88" s="77"/>
      <c r="F88" s="78" t="s">
        <v>8</v>
      </c>
      <c r="G88" s="79"/>
      <c r="H88" s="1"/>
      <c r="I88" s="2"/>
      <c r="J88" s="3"/>
      <c r="K88" s="1"/>
      <c r="O88" s="80"/>
      <c r="P88" s="80"/>
      <c r="Q88" s="2"/>
      <c r="AH88" s="1"/>
      <c r="AI88" s="1"/>
      <c r="AJ88" s="1"/>
      <c r="AK88" s="1"/>
      <c r="AL88" s="1"/>
      <c r="AM88" s="3"/>
      <c r="AN88" s="3"/>
      <c r="AO88" s="3"/>
      <c r="AP88" s="3"/>
      <c r="AQ88" s="3"/>
      <c r="AR88" s="3"/>
      <c r="AS88" s="3"/>
      <c r="AT88" s="3"/>
      <c r="AU88" s="3"/>
    </row>
    <row r="89" spans="1:47">
      <c r="A89" s="1"/>
      <c r="B89" s="1"/>
      <c r="C89" s="76" t="s">
        <v>30</v>
      </c>
      <c r="D89" s="138">
        <f>Datos!D67</f>
        <v>2.1E-10</v>
      </c>
      <c r="E89" s="77"/>
      <c r="F89" s="81" t="s">
        <v>140</v>
      </c>
      <c r="G89" s="82" t="s">
        <v>73</v>
      </c>
      <c r="H89" s="1"/>
      <c r="I89" s="2"/>
      <c r="J89" s="81" t="s">
        <v>28</v>
      </c>
      <c r="K89" s="83" t="s">
        <v>142</v>
      </c>
      <c r="L89" s="1"/>
      <c r="M89" s="80"/>
      <c r="N89" s="80"/>
      <c r="O89" s="84" t="s">
        <v>145</v>
      </c>
      <c r="P89" s="85" t="s">
        <v>146</v>
      </c>
      <c r="Q89" s="2"/>
      <c r="AH89" s="1"/>
      <c r="AI89" s="1"/>
      <c r="AJ89" s="1"/>
      <c r="AK89" s="1"/>
      <c r="AL89" s="1"/>
      <c r="AM89" s="3"/>
      <c r="AN89" s="3"/>
      <c r="AO89" s="3"/>
      <c r="AP89" s="3"/>
      <c r="AQ89" s="3"/>
      <c r="AR89" s="3"/>
      <c r="AS89" s="3"/>
      <c r="AT89" s="3"/>
      <c r="AU89" s="3"/>
    </row>
    <row r="90" spans="1:47">
      <c r="A90" s="1"/>
      <c r="B90" s="1"/>
      <c r="C90" s="1"/>
      <c r="D90" s="2"/>
      <c r="E90" s="1"/>
      <c r="F90" s="81" t="s">
        <v>134</v>
      </c>
      <c r="G90" s="82" t="s">
        <v>141</v>
      </c>
      <c r="H90" s="1"/>
      <c r="I90" s="2"/>
      <c r="J90" s="81" t="s">
        <v>143</v>
      </c>
      <c r="K90" s="83" t="s">
        <v>144</v>
      </c>
      <c r="L90" s="1"/>
      <c r="M90" s="1"/>
      <c r="N90" s="1"/>
      <c r="O90" s="1"/>
      <c r="P90" s="1"/>
      <c r="Q90" s="2"/>
      <c r="AH90" s="1"/>
      <c r="AI90" s="1"/>
      <c r="AJ90" s="1"/>
      <c r="AK90" s="1"/>
      <c r="AL90" s="1"/>
      <c r="AM90" s="3"/>
      <c r="AN90" s="3"/>
      <c r="AO90" s="3"/>
      <c r="AP90" s="3"/>
      <c r="AQ90" s="3"/>
      <c r="AR90" s="3"/>
      <c r="AS90" s="3"/>
      <c r="AT90" s="3"/>
      <c r="AU90" s="3"/>
    </row>
    <row r="91" spans="1:47" ht="15" customHeight="1">
      <c r="A91" s="1"/>
      <c r="B91" s="1"/>
      <c r="C91" s="86"/>
      <c r="D91" s="86"/>
      <c r="E91" s="1"/>
      <c r="F91" s="1"/>
      <c r="I91" s="3"/>
      <c r="J91" s="3"/>
      <c r="K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L91" s="1"/>
      <c r="AM91" s="3"/>
      <c r="AN91" s="3"/>
      <c r="AO91" s="3"/>
      <c r="AP91" s="3"/>
      <c r="AQ91" s="3"/>
      <c r="AR91" s="3"/>
      <c r="AS91" s="3"/>
      <c r="AT91" s="3"/>
      <c r="AU91" s="3"/>
    </row>
    <row r="92" spans="1:47" s="54" customFormat="1">
      <c r="A92" s="53"/>
      <c r="B92" s="55" t="s">
        <v>199</v>
      </c>
      <c r="D92" s="53"/>
      <c r="E92" s="53"/>
      <c r="F92" s="53"/>
      <c r="G92" s="53"/>
      <c r="H92" s="73"/>
      <c r="K92" s="74"/>
      <c r="L92" s="53"/>
      <c r="M92" s="53"/>
    </row>
    <row r="93" spans="1:47" ht="5.25" customHeight="1">
      <c r="A93" s="1"/>
      <c r="B93" s="55"/>
      <c r="C93" s="56"/>
      <c r="D93" s="56"/>
      <c r="E93" s="56"/>
      <c r="F93" s="56"/>
      <c r="G93" s="56"/>
      <c r="H93" s="57"/>
      <c r="I93" s="57"/>
      <c r="J93" s="2"/>
      <c r="K93" s="2"/>
      <c r="L93" s="1"/>
      <c r="M93" s="1"/>
      <c r="N93" s="1"/>
      <c r="O93" s="58"/>
      <c r="P93" s="58"/>
      <c r="Q93" s="1"/>
      <c r="AH93" s="1"/>
      <c r="AI93" s="1"/>
      <c r="AJ93" s="1"/>
      <c r="AK93" s="1"/>
      <c r="AL93" s="1"/>
      <c r="AM93" s="3"/>
      <c r="AN93" s="3"/>
      <c r="AO93" s="3"/>
      <c r="AP93" s="3"/>
      <c r="AQ93" s="3"/>
      <c r="AR93" s="3"/>
      <c r="AS93" s="3"/>
      <c r="AT93" s="3"/>
      <c r="AU93" s="3"/>
    </row>
    <row r="94" spans="1:47" ht="17.75" customHeight="1">
      <c r="A94" s="1"/>
      <c r="B94" s="469" t="s">
        <v>94</v>
      </c>
      <c r="C94" s="469"/>
      <c r="D94" s="470" t="str">
        <f>P_DIS!O8</f>
        <v>Matraz volumétrico</v>
      </c>
      <c r="E94" s="470"/>
      <c r="F94" s="471" t="s">
        <v>95</v>
      </c>
      <c r="G94" s="472"/>
      <c r="H94" s="470" t="str">
        <f>P_DIS!U8</f>
        <v xml:space="preserve">EQ-068-ILL	</v>
      </c>
      <c r="I94" s="470"/>
      <c r="J94" s="2"/>
      <c r="K94" s="2"/>
      <c r="N94" s="1"/>
      <c r="O94" s="58"/>
      <c r="P94" s="58"/>
      <c r="Q94" s="1"/>
      <c r="AH94" s="1"/>
      <c r="AI94" s="1"/>
      <c r="AJ94" s="1"/>
      <c r="AK94" s="1"/>
      <c r="AL94" s="1"/>
      <c r="AM94" s="3"/>
      <c r="AN94" s="3"/>
      <c r="AO94" s="3"/>
      <c r="AP94" s="3"/>
      <c r="AQ94" s="3"/>
      <c r="AR94" s="3"/>
      <c r="AS94" s="3"/>
      <c r="AT94" s="3"/>
      <c r="AU94" s="3"/>
    </row>
    <row r="95" spans="1:47" ht="17.75" customHeight="1">
      <c r="A95" s="1"/>
      <c r="B95" s="469" t="s">
        <v>127</v>
      </c>
      <c r="C95" s="469"/>
      <c r="D95" s="470" t="str">
        <f>P_DIS!Z15</f>
        <v xml:space="preserve"> E2039-3315A-2023 - 200</v>
      </c>
      <c r="E95" s="470"/>
      <c r="F95" s="471" t="s">
        <v>216</v>
      </c>
      <c r="G95" s="472"/>
      <c r="H95" s="473">
        <f>P_DIS!Z16</f>
        <v>45250</v>
      </c>
      <c r="I95" s="473"/>
      <c r="J95" s="2"/>
      <c r="K95" s="2"/>
      <c r="L95" s="1"/>
      <c r="M95" s="1"/>
      <c r="N95" s="1"/>
      <c r="O95" s="58"/>
      <c r="P95" s="58"/>
      <c r="Q95" s="1"/>
      <c r="AH95" s="1"/>
      <c r="AI95" s="1"/>
      <c r="AJ95" s="1"/>
      <c r="AK95" s="1"/>
      <c r="AL95" s="1"/>
      <c r="AM95" s="3"/>
      <c r="AN95" s="3"/>
      <c r="AO95" s="3"/>
      <c r="AP95" s="3"/>
      <c r="AQ95" s="3"/>
      <c r="AR95" s="3"/>
      <c r="AS95" s="3"/>
      <c r="AT95" s="3"/>
      <c r="AU95" s="3"/>
    </row>
    <row r="96" spans="1:47" s="54" customFormat="1">
      <c r="A96" s="53"/>
      <c r="B96" s="53"/>
      <c r="C96" s="72"/>
      <c r="D96" s="53"/>
      <c r="E96" s="53"/>
      <c r="F96" s="53"/>
      <c r="G96" s="53"/>
      <c r="H96" s="73"/>
      <c r="K96" s="74"/>
      <c r="L96" s="53"/>
      <c r="M96" s="53"/>
    </row>
    <row r="97" spans="1:47" ht="22.5" customHeight="1">
      <c r="A97" s="1"/>
      <c r="B97" s="1"/>
      <c r="C97" s="137" t="s">
        <v>131</v>
      </c>
      <c r="D97" s="137" t="s">
        <v>132</v>
      </c>
      <c r="E97" s="3"/>
      <c r="F97" s="137" t="s">
        <v>133</v>
      </c>
      <c r="G97" s="87">
        <f>MAX(D98:D100)</f>
        <v>0.1</v>
      </c>
      <c r="H97" s="3"/>
      <c r="I97" s="88" t="s">
        <v>8</v>
      </c>
      <c r="J97" s="89"/>
      <c r="K97" s="90"/>
      <c r="L97" s="90"/>
      <c r="M97" s="90"/>
      <c r="O97" s="91"/>
      <c r="P97" s="1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K97" s="1"/>
      <c r="AL97" s="1"/>
      <c r="AM97" s="3"/>
      <c r="AN97" s="3"/>
      <c r="AO97" s="3"/>
      <c r="AP97" s="3"/>
      <c r="AQ97" s="3"/>
      <c r="AR97" s="3"/>
      <c r="AS97" s="3"/>
      <c r="AT97" s="3"/>
      <c r="AU97" s="3"/>
    </row>
    <row r="98" spans="1:47" ht="15.75" customHeight="1">
      <c r="A98" s="1"/>
      <c r="B98" s="1"/>
      <c r="C98" s="138">
        <f>Datos!C75</f>
        <v>10</v>
      </c>
      <c r="D98" s="12">
        <f>Datos!E75</f>
        <v>0.1</v>
      </c>
      <c r="E98" s="3"/>
      <c r="F98" s="92" t="s">
        <v>28</v>
      </c>
      <c r="G98" s="93">
        <v>2</v>
      </c>
      <c r="H98" s="3"/>
      <c r="I98" s="81" t="s">
        <v>138</v>
      </c>
      <c r="J98" s="82" t="s">
        <v>136</v>
      </c>
      <c r="K98" s="94"/>
      <c r="L98" s="81" t="s">
        <v>28</v>
      </c>
      <c r="M98" s="83" t="s">
        <v>76</v>
      </c>
      <c r="O98" s="3"/>
      <c r="P98" s="95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K98" s="1"/>
      <c r="AL98" s="1"/>
      <c r="AM98" s="3"/>
      <c r="AN98" s="3"/>
      <c r="AO98" s="3"/>
      <c r="AP98" s="3"/>
      <c r="AQ98" s="3"/>
      <c r="AR98" s="3"/>
      <c r="AS98" s="3"/>
      <c r="AT98" s="3"/>
      <c r="AU98" s="3"/>
    </row>
    <row r="99" spans="1:47" ht="15.75" customHeight="1">
      <c r="A99" s="1"/>
      <c r="B99" s="1"/>
      <c r="C99" s="138">
        <f>Datos!C76</f>
        <v>30</v>
      </c>
      <c r="D99" s="12">
        <f>Datos!E76</f>
        <v>0.09</v>
      </c>
      <c r="E99" s="3"/>
      <c r="F99" s="92" t="s">
        <v>135</v>
      </c>
      <c r="G99" s="96">
        <f>G97/G98</f>
        <v>0.05</v>
      </c>
      <c r="H99" s="3"/>
      <c r="I99" s="81" t="s">
        <v>139</v>
      </c>
      <c r="J99" s="82" t="s">
        <v>137</v>
      </c>
      <c r="K99" s="94"/>
      <c r="L99" s="81" t="s">
        <v>71</v>
      </c>
      <c r="M99" s="83" t="s">
        <v>72</v>
      </c>
      <c r="O99" s="3"/>
      <c r="P99" s="95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K99" s="1"/>
      <c r="AL99" s="1"/>
      <c r="AM99" s="3"/>
      <c r="AN99" s="3"/>
      <c r="AO99" s="3"/>
      <c r="AP99" s="3"/>
      <c r="AQ99" s="3"/>
      <c r="AR99" s="3"/>
      <c r="AS99" s="3"/>
      <c r="AT99" s="3"/>
      <c r="AU99" s="3"/>
    </row>
    <row r="100" spans="1:47" ht="15.75" customHeight="1">
      <c r="A100" s="1"/>
      <c r="B100" s="1"/>
      <c r="C100" s="138">
        <f>Datos!C77</f>
        <v>50</v>
      </c>
      <c r="D100" s="12">
        <f>Datos!E77</f>
        <v>0.1</v>
      </c>
      <c r="E100" s="3"/>
      <c r="H100" s="3"/>
      <c r="I100" s="3"/>
      <c r="J100" s="3"/>
      <c r="K100" s="3"/>
      <c r="L100" s="97"/>
      <c r="M100" s="98"/>
      <c r="O100" s="81"/>
      <c r="P100" s="82"/>
      <c r="Q100" s="94"/>
      <c r="R100" s="99"/>
      <c r="S100" s="99"/>
      <c r="T100" s="99"/>
      <c r="U100" s="99"/>
      <c r="V100" s="99"/>
      <c r="W100" s="99"/>
      <c r="X100" s="99"/>
      <c r="Y100" s="99"/>
      <c r="Z100" s="99"/>
      <c r="AA100" s="99"/>
      <c r="AB100" s="99"/>
      <c r="AC100" s="99"/>
      <c r="AD100" s="99"/>
      <c r="AE100" s="99"/>
      <c r="AF100" s="99"/>
      <c r="AG100" s="81"/>
      <c r="AH100" s="83"/>
      <c r="AJ100" s="95"/>
      <c r="AK100" s="1"/>
      <c r="AL100" s="1"/>
      <c r="AM100" s="3"/>
      <c r="AN100" s="3"/>
      <c r="AO100" s="3"/>
      <c r="AP100" s="3"/>
      <c r="AQ100" s="3"/>
      <c r="AR100" s="3"/>
      <c r="AS100" s="3"/>
      <c r="AT100" s="3"/>
      <c r="AU100" s="3"/>
    </row>
    <row r="101" spans="1:47">
      <c r="A101" s="1"/>
      <c r="B101" s="1"/>
      <c r="C101" s="100"/>
      <c r="D101" s="100"/>
      <c r="E101" s="2"/>
      <c r="F101" s="1"/>
      <c r="G101" s="1"/>
      <c r="H101" s="2"/>
      <c r="I101" s="2"/>
      <c r="J101" s="2"/>
      <c r="K101" s="2"/>
      <c r="N101" s="95"/>
      <c r="O101" s="2"/>
      <c r="P101" s="2"/>
      <c r="Q101" s="2"/>
      <c r="AH101" s="1"/>
      <c r="AI101" s="1"/>
      <c r="AJ101" s="1"/>
      <c r="AK101" s="1"/>
      <c r="AL101" s="1"/>
      <c r="AM101" s="3"/>
      <c r="AN101" s="3"/>
      <c r="AO101" s="3"/>
      <c r="AP101" s="3"/>
      <c r="AQ101" s="3"/>
      <c r="AR101" s="3"/>
      <c r="AS101" s="3"/>
      <c r="AT101" s="3"/>
      <c r="AU101" s="3"/>
    </row>
    <row r="102" spans="1:47" s="54" customFormat="1">
      <c r="A102" s="53"/>
      <c r="B102" s="55" t="s">
        <v>200</v>
      </c>
      <c r="D102" s="53"/>
      <c r="E102" s="53"/>
      <c r="F102" s="53"/>
      <c r="G102" s="53"/>
      <c r="H102" s="73"/>
      <c r="K102" s="74"/>
      <c r="L102" s="53"/>
      <c r="M102" s="53"/>
    </row>
    <row r="103" spans="1:47" ht="5.25" customHeight="1">
      <c r="A103" s="1"/>
      <c r="B103" s="55"/>
      <c r="C103" s="56"/>
      <c r="D103" s="56"/>
      <c r="E103" s="56"/>
      <c r="F103" s="56"/>
      <c r="G103" s="56"/>
      <c r="H103" s="57"/>
      <c r="I103" s="57"/>
      <c r="J103" s="2"/>
      <c r="K103" s="2"/>
      <c r="L103" s="1"/>
      <c r="M103" s="1"/>
      <c r="N103" s="1"/>
      <c r="O103" s="58"/>
      <c r="P103" s="58"/>
      <c r="Q103" s="1"/>
      <c r="AH103" s="1"/>
      <c r="AI103" s="1"/>
      <c r="AJ103" s="1"/>
      <c r="AK103" s="1"/>
      <c r="AL103" s="1"/>
      <c r="AM103" s="3"/>
      <c r="AN103" s="3"/>
      <c r="AO103" s="3"/>
      <c r="AP103" s="3"/>
      <c r="AQ103" s="3"/>
      <c r="AR103" s="3"/>
      <c r="AS103" s="3"/>
      <c r="AT103" s="3"/>
      <c r="AU103" s="3"/>
    </row>
    <row r="104" spans="1:47" ht="17.75" customHeight="1">
      <c r="A104" s="1"/>
      <c r="B104" s="469" t="s">
        <v>94</v>
      </c>
      <c r="C104" s="469"/>
      <c r="D104" s="478" t="str">
        <f>P_DIS!O10</f>
        <v>Espectrofotometro UV</v>
      </c>
      <c r="E104" s="470"/>
      <c r="F104" s="471" t="s">
        <v>95</v>
      </c>
      <c r="G104" s="472"/>
      <c r="H104" s="470" t="str">
        <f>P_DIS!U10</f>
        <v xml:space="preserve">EQ-067-ILL	</v>
      </c>
      <c r="I104" s="470"/>
      <c r="J104" s="2"/>
      <c r="K104" s="2"/>
      <c r="N104" s="1"/>
      <c r="O104" s="58"/>
      <c r="P104" s="58"/>
      <c r="Q104" s="1"/>
      <c r="AH104" s="1"/>
      <c r="AI104" s="1"/>
      <c r="AJ104" s="1"/>
      <c r="AK104" s="1"/>
      <c r="AL104" s="1"/>
      <c r="AM104" s="3"/>
      <c r="AN104" s="3"/>
      <c r="AO104" s="3"/>
      <c r="AP104" s="3"/>
      <c r="AQ104" s="3"/>
      <c r="AR104" s="3"/>
      <c r="AS104" s="3"/>
      <c r="AT104" s="3"/>
      <c r="AU104" s="3"/>
    </row>
    <row r="105" spans="1:47" ht="17.75" customHeight="1">
      <c r="A105" s="1"/>
      <c r="B105" s="469" t="s">
        <v>127</v>
      </c>
      <c r="C105" s="469"/>
      <c r="D105" s="470" t="str">
        <f>P_DIS!Z24</f>
        <v>E2039-3315A-2023 -99</v>
      </c>
      <c r="E105" s="470"/>
      <c r="F105" s="471" t="s">
        <v>216</v>
      </c>
      <c r="G105" s="472"/>
      <c r="H105" s="473">
        <f>P_DIS!Z25</f>
        <v>45187</v>
      </c>
      <c r="I105" s="473"/>
      <c r="J105" s="2"/>
      <c r="K105" s="2"/>
      <c r="L105" s="1"/>
      <c r="M105" s="1"/>
      <c r="N105" s="1"/>
      <c r="O105" s="58"/>
      <c r="P105" s="58"/>
      <c r="Q105" s="1"/>
      <c r="AH105" s="1"/>
      <c r="AI105" s="1"/>
      <c r="AJ105" s="1"/>
      <c r="AK105" s="1"/>
      <c r="AL105" s="1"/>
      <c r="AM105" s="3"/>
      <c r="AN105" s="3"/>
      <c r="AO105" s="3"/>
      <c r="AP105" s="3"/>
      <c r="AQ105" s="3"/>
      <c r="AR105" s="3"/>
      <c r="AS105" s="3"/>
      <c r="AT105" s="3"/>
      <c r="AU105" s="3"/>
    </row>
    <row r="106" spans="1:47" s="54" customFormat="1">
      <c r="A106" s="53"/>
      <c r="B106" s="53"/>
      <c r="C106" s="72"/>
      <c r="D106" s="53"/>
      <c r="E106" s="53"/>
      <c r="F106" s="53"/>
      <c r="G106" s="53"/>
      <c r="H106" s="73"/>
      <c r="K106" s="74"/>
      <c r="L106" s="53"/>
      <c r="M106" s="53"/>
    </row>
    <row r="107" spans="1:47" ht="15.75" customHeight="1">
      <c r="A107" s="1"/>
      <c r="B107" s="1"/>
      <c r="C107" s="92" t="s">
        <v>74</v>
      </c>
      <c r="D107" s="87">
        <f>Datos!D86</f>
        <v>0.01</v>
      </c>
      <c r="E107" s="101"/>
      <c r="F107" s="88" t="s">
        <v>8</v>
      </c>
      <c r="G107" s="89"/>
      <c r="H107" s="90"/>
      <c r="I107" s="90"/>
      <c r="J107" s="90"/>
      <c r="K107" s="3"/>
      <c r="L107" s="91"/>
      <c r="M107" s="1"/>
      <c r="N107" s="1"/>
      <c r="O107" s="2"/>
      <c r="P107" s="2"/>
      <c r="Q107" s="2"/>
      <c r="AH107" s="1"/>
      <c r="AI107" s="1"/>
      <c r="AJ107" s="1"/>
      <c r="AK107" s="1"/>
      <c r="AL107" s="1"/>
      <c r="AM107" s="3"/>
      <c r="AN107" s="3"/>
      <c r="AO107" s="3"/>
      <c r="AP107" s="3"/>
      <c r="AQ107" s="3"/>
      <c r="AR107" s="3"/>
      <c r="AS107" s="3"/>
      <c r="AT107" s="3"/>
      <c r="AU107" s="3"/>
    </row>
    <row r="108" spans="1:47" ht="15.75" customHeight="1">
      <c r="A108" s="1"/>
      <c r="B108" s="1"/>
      <c r="C108" s="92" t="s">
        <v>77</v>
      </c>
      <c r="D108" s="93">
        <v>2</v>
      </c>
      <c r="E108" s="101"/>
      <c r="F108" s="81" t="s">
        <v>27</v>
      </c>
      <c r="G108" s="82" t="s">
        <v>75</v>
      </c>
      <c r="H108" s="94"/>
      <c r="I108" s="80"/>
      <c r="J108" s="81" t="s">
        <v>28</v>
      </c>
      <c r="K108" s="83" t="s">
        <v>76</v>
      </c>
      <c r="M108" s="95"/>
      <c r="N108" s="1"/>
      <c r="O108" s="2"/>
      <c r="P108" s="2"/>
      <c r="Q108" s="2"/>
      <c r="AH108" s="1"/>
      <c r="AI108" s="1"/>
      <c r="AJ108" s="1"/>
      <c r="AK108" s="1"/>
      <c r="AL108" s="1"/>
      <c r="AM108" s="3"/>
      <c r="AN108" s="3"/>
      <c r="AO108" s="3"/>
      <c r="AP108" s="3"/>
      <c r="AQ108" s="3"/>
      <c r="AR108" s="3"/>
      <c r="AS108" s="3"/>
      <c r="AT108" s="3"/>
      <c r="AU108" s="3"/>
    </row>
    <row r="109" spans="1:47" ht="15.75" customHeight="1">
      <c r="A109" s="1"/>
      <c r="B109" s="1"/>
      <c r="C109" s="92" t="s">
        <v>79</v>
      </c>
      <c r="D109" s="96">
        <f>D107/D108</f>
        <v>5.0000000000000001E-3</v>
      </c>
      <c r="E109" s="101"/>
      <c r="F109" s="81" t="s">
        <v>70</v>
      </c>
      <c r="G109" s="82" t="s">
        <v>78</v>
      </c>
      <c r="H109" s="94"/>
      <c r="I109" s="99"/>
      <c r="J109" s="81" t="s">
        <v>71</v>
      </c>
      <c r="K109" s="83" t="s">
        <v>72</v>
      </c>
      <c r="M109" s="95"/>
      <c r="N109" s="54"/>
      <c r="O109" s="2"/>
      <c r="P109" s="2"/>
      <c r="Q109" s="2"/>
      <c r="V109" s="301"/>
      <c r="AH109" s="1"/>
      <c r="AI109" s="1"/>
      <c r="AJ109" s="1"/>
      <c r="AK109" s="1"/>
      <c r="AL109" s="1"/>
      <c r="AM109" s="3"/>
      <c r="AN109" s="3"/>
      <c r="AO109" s="3"/>
      <c r="AP109" s="3"/>
      <c r="AQ109" s="3"/>
      <c r="AR109" s="3"/>
      <c r="AS109" s="3"/>
      <c r="AT109" s="3"/>
      <c r="AU109" s="3"/>
    </row>
    <row r="110" spans="1:47">
      <c r="A110" s="1"/>
      <c r="B110" s="1"/>
      <c r="C110" s="100"/>
      <c r="D110" s="100"/>
      <c r="E110" s="2"/>
      <c r="F110" s="1"/>
      <c r="G110" s="1"/>
      <c r="H110" s="2"/>
      <c r="I110" s="2"/>
      <c r="J110" s="2"/>
      <c r="K110" s="2"/>
      <c r="N110" s="95"/>
      <c r="O110" s="2"/>
      <c r="P110" s="2"/>
      <c r="Q110" s="2"/>
      <c r="AH110" s="1"/>
      <c r="AI110" s="1"/>
      <c r="AJ110" s="1"/>
      <c r="AK110" s="1"/>
      <c r="AL110" s="1"/>
      <c r="AM110" s="3"/>
      <c r="AN110" s="3"/>
      <c r="AO110" s="3"/>
      <c r="AP110" s="3"/>
      <c r="AQ110" s="3"/>
      <c r="AR110" s="3"/>
      <c r="AS110" s="3"/>
      <c r="AT110" s="3"/>
      <c r="AU110" s="3"/>
    </row>
    <row r="111" spans="1:47" s="54" customFormat="1">
      <c r="A111" s="53"/>
      <c r="B111" s="55" t="s">
        <v>201</v>
      </c>
      <c r="D111" s="53"/>
      <c r="E111" s="53"/>
      <c r="F111" s="53"/>
      <c r="G111" s="53"/>
      <c r="H111" s="73"/>
      <c r="K111" s="74"/>
      <c r="L111" s="53"/>
      <c r="M111" s="53"/>
    </row>
    <row r="112" spans="1:47" ht="5.25" customHeight="1">
      <c r="A112" s="1"/>
      <c r="B112" s="55"/>
      <c r="C112" s="56"/>
      <c r="D112" s="56"/>
      <c r="E112" s="56"/>
      <c r="F112" s="56"/>
      <c r="G112" s="56"/>
      <c r="H112" s="57"/>
      <c r="I112" s="57"/>
      <c r="J112" s="2"/>
      <c r="K112" s="2"/>
      <c r="L112" s="1"/>
      <c r="M112" s="1"/>
      <c r="N112" s="1"/>
      <c r="O112" s="58"/>
      <c r="P112" s="58"/>
      <c r="Q112" s="1"/>
      <c r="AH112" s="1"/>
      <c r="AI112" s="1"/>
      <c r="AJ112" s="1"/>
      <c r="AK112" s="1"/>
      <c r="AL112" s="1"/>
      <c r="AM112" s="3"/>
      <c r="AN112" s="3"/>
      <c r="AO112" s="3"/>
      <c r="AP112" s="3"/>
      <c r="AQ112" s="3"/>
      <c r="AR112" s="3"/>
      <c r="AS112" s="3"/>
      <c r="AT112" s="3"/>
      <c r="AU112" s="3"/>
    </row>
    <row r="113" spans="1:58" ht="17.75" customHeight="1">
      <c r="A113" s="1"/>
      <c r="B113" s="469" t="s">
        <v>94</v>
      </c>
      <c r="C113" s="469"/>
      <c r="D113" s="470" t="str">
        <f>P_DIS!O9</f>
        <v>Micropipeta</v>
      </c>
      <c r="E113" s="470"/>
      <c r="F113" s="471" t="s">
        <v>95</v>
      </c>
      <c r="G113" s="472"/>
      <c r="H113" s="470" t="str">
        <f>P_DIS!U9</f>
        <v xml:space="preserve">EQ-096-ILL	</v>
      </c>
      <c r="I113" s="470"/>
      <c r="J113" s="2"/>
      <c r="K113" s="2"/>
      <c r="N113" s="1"/>
      <c r="O113" s="58"/>
      <c r="P113" s="58"/>
      <c r="Q113" s="1"/>
      <c r="AH113" s="1"/>
      <c r="AI113" s="1"/>
      <c r="AJ113" s="1"/>
      <c r="AK113" s="1"/>
      <c r="AL113" s="1"/>
      <c r="AM113" s="3"/>
      <c r="AN113" s="3"/>
      <c r="AO113" s="3"/>
      <c r="AP113" s="3"/>
      <c r="AQ113" s="3"/>
      <c r="AR113" s="3"/>
      <c r="AS113" s="3"/>
      <c r="AT113" s="3"/>
      <c r="AU113" s="3"/>
    </row>
    <row r="114" spans="1:58" ht="17.75" customHeight="1">
      <c r="A114" s="1"/>
      <c r="B114" s="469" t="s">
        <v>127</v>
      </c>
      <c r="C114" s="469"/>
      <c r="D114" s="470" t="str">
        <f>P_DIS!AE15</f>
        <v>MV24-C-2803</v>
      </c>
      <c r="E114" s="470"/>
      <c r="F114" s="472" t="s">
        <v>128</v>
      </c>
      <c r="G114" s="472"/>
      <c r="H114" s="473">
        <f>P_DIS!AE16</f>
        <v>45614</v>
      </c>
      <c r="I114" s="473"/>
      <c r="J114" s="2"/>
      <c r="K114" s="2"/>
      <c r="L114" s="1"/>
      <c r="M114" s="1"/>
      <c r="N114" s="1"/>
      <c r="O114" s="58"/>
      <c r="P114" s="58"/>
      <c r="Q114" s="1"/>
      <c r="AH114" s="1"/>
      <c r="AI114" s="1"/>
      <c r="AJ114" s="1"/>
      <c r="AK114" s="1"/>
      <c r="AL114" s="1"/>
      <c r="AM114" s="3"/>
      <c r="AN114" s="3"/>
      <c r="AO114" s="3"/>
      <c r="AP114" s="3"/>
      <c r="AQ114" s="3"/>
      <c r="AR114" s="3"/>
      <c r="AS114" s="3"/>
      <c r="AT114" s="3"/>
      <c r="AU114" s="3"/>
    </row>
    <row r="115" spans="1:58" s="54" customFormat="1">
      <c r="A115" s="53"/>
      <c r="B115" s="53"/>
      <c r="C115" s="72"/>
      <c r="D115" s="53"/>
      <c r="E115" s="53"/>
      <c r="F115" s="53"/>
      <c r="G115" s="53"/>
      <c r="H115" s="73"/>
      <c r="K115" s="74"/>
      <c r="L115" s="53"/>
      <c r="M115" s="53"/>
    </row>
    <row r="116" spans="1:58" ht="22.5" customHeight="1">
      <c r="A116" s="1"/>
      <c r="B116" s="1"/>
      <c r="C116" s="137" t="s">
        <v>131</v>
      </c>
      <c r="D116" s="137" t="s">
        <v>132</v>
      </c>
      <c r="E116" s="3"/>
      <c r="F116" s="137" t="s">
        <v>133</v>
      </c>
      <c r="G116" s="87">
        <f>MAX(D117:D119)</f>
        <v>8.9999999999999993E-3</v>
      </c>
      <c r="H116" s="3"/>
      <c r="I116" s="88" t="s">
        <v>8</v>
      </c>
      <c r="J116" s="89"/>
      <c r="K116" s="90"/>
      <c r="L116" s="90"/>
      <c r="M116" s="90"/>
      <c r="O116" s="91"/>
      <c r="P116" s="1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K116" s="1"/>
      <c r="AL116" s="1"/>
      <c r="AM116" s="3"/>
      <c r="AN116" s="3"/>
      <c r="AO116" s="3"/>
      <c r="AP116" s="3"/>
      <c r="AQ116" s="3"/>
      <c r="AR116" s="3"/>
      <c r="AS116" s="3"/>
      <c r="AT116" s="3"/>
      <c r="AU116" s="3"/>
    </row>
    <row r="117" spans="1:58" ht="15.75" customHeight="1">
      <c r="A117" s="1"/>
      <c r="B117" s="1"/>
      <c r="C117" s="70">
        <f>Datos!C94</f>
        <v>2</v>
      </c>
      <c r="D117" s="13">
        <f>Datos!E94</f>
        <v>8.9999999999999993E-3</v>
      </c>
      <c r="E117" s="3"/>
      <c r="F117" s="92" t="s">
        <v>28</v>
      </c>
      <c r="G117" s="93">
        <v>2</v>
      </c>
      <c r="H117" s="3"/>
      <c r="I117" s="81" t="s">
        <v>138</v>
      </c>
      <c r="J117" s="82" t="s">
        <v>136</v>
      </c>
      <c r="K117" s="94"/>
      <c r="L117" s="81" t="s">
        <v>28</v>
      </c>
      <c r="M117" s="83" t="s">
        <v>76</v>
      </c>
      <c r="O117" s="3"/>
      <c r="P117" s="95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K117" s="1"/>
      <c r="AL117" s="1"/>
      <c r="AM117" s="3"/>
      <c r="AN117" s="3"/>
      <c r="AO117" s="3"/>
      <c r="AP117" s="3"/>
      <c r="AQ117" s="3"/>
      <c r="AR117" s="3"/>
      <c r="AS117" s="3"/>
      <c r="AT117" s="3"/>
      <c r="AU117" s="3"/>
    </row>
    <row r="118" spans="1:58" ht="15.75" customHeight="1">
      <c r="A118" s="1"/>
      <c r="B118" s="1"/>
      <c r="C118" s="70">
        <f>Datos!C95</f>
        <v>5</v>
      </c>
      <c r="D118" s="13">
        <f>Datos!E95</f>
        <v>8.9999999999999993E-3</v>
      </c>
      <c r="E118" s="3"/>
      <c r="F118" s="92" t="s">
        <v>135</v>
      </c>
      <c r="G118" s="96">
        <f>G116/G117</f>
        <v>4.4999999999999997E-3</v>
      </c>
      <c r="H118" s="3"/>
      <c r="I118" s="81" t="s">
        <v>139</v>
      </c>
      <c r="J118" s="82" t="s">
        <v>137</v>
      </c>
      <c r="K118" s="94"/>
      <c r="L118" s="81" t="s">
        <v>71</v>
      </c>
      <c r="M118" s="83" t="s">
        <v>72</v>
      </c>
      <c r="O118" s="3"/>
      <c r="P118" s="95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K118" s="1"/>
      <c r="AL118" s="1"/>
      <c r="AM118" s="3"/>
      <c r="AN118" s="3"/>
      <c r="AO118" s="3"/>
      <c r="AP118" s="3"/>
      <c r="AQ118" s="3"/>
      <c r="AR118" s="3"/>
      <c r="AS118" s="3"/>
      <c r="AT118" s="3"/>
      <c r="AU118" s="3"/>
    </row>
    <row r="119" spans="1:58" ht="15.75" customHeight="1">
      <c r="A119" s="1"/>
      <c r="B119" s="1"/>
      <c r="C119" s="70">
        <f>Datos!C96</f>
        <v>10</v>
      </c>
      <c r="D119" s="13">
        <f>Datos!E96</f>
        <v>8.9999999999999993E-3</v>
      </c>
      <c r="E119" s="3"/>
      <c r="H119" s="3"/>
      <c r="I119" s="3"/>
      <c r="J119" s="3"/>
      <c r="K119" s="3"/>
      <c r="L119" s="97"/>
      <c r="M119" s="98"/>
      <c r="O119" s="81"/>
      <c r="P119" s="82"/>
      <c r="Q119" s="94"/>
      <c r="R119" s="99"/>
      <c r="S119" s="99"/>
      <c r="T119" s="99"/>
      <c r="U119" s="99"/>
      <c r="V119" s="99"/>
      <c r="W119" s="99"/>
      <c r="X119" s="99"/>
      <c r="Y119" s="99"/>
      <c r="Z119" s="99"/>
      <c r="AA119" s="99"/>
      <c r="AB119" s="99"/>
      <c r="AC119" s="99"/>
      <c r="AD119" s="99"/>
      <c r="AE119" s="99"/>
      <c r="AF119" s="99"/>
      <c r="AG119" s="81"/>
      <c r="AH119" s="83"/>
      <c r="AJ119" s="95"/>
      <c r="AK119" s="1"/>
      <c r="AL119" s="1"/>
      <c r="AM119" s="3"/>
      <c r="AN119" s="3"/>
      <c r="AO119" s="3"/>
      <c r="AP119" s="3"/>
      <c r="AQ119" s="3"/>
      <c r="AR119" s="3"/>
      <c r="AS119" s="3"/>
      <c r="AT119" s="3"/>
      <c r="AU119" s="3"/>
    </row>
    <row r="120" spans="1:58">
      <c r="B120" s="1"/>
      <c r="C120" s="1"/>
      <c r="D120" s="1"/>
      <c r="E120" s="2"/>
      <c r="F120" s="1"/>
      <c r="G120" s="1"/>
      <c r="H120" s="2"/>
      <c r="I120" s="2"/>
      <c r="J120" s="2"/>
      <c r="K120" s="2"/>
      <c r="L120" s="1"/>
      <c r="M120" s="1"/>
      <c r="N120" s="1"/>
      <c r="O120" s="2"/>
      <c r="P120" s="2"/>
      <c r="Q120" s="2"/>
      <c r="AH120" s="1"/>
      <c r="AI120" s="1"/>
      <c r="AJ120" s="1"/>
      <c r="AK120" s="1"/>
      <c r="AL120" s="1"/>
    </row>
    <row r="121" spans="1:58" s="90" customFormat="1" ht="31" customHeight="1">
      <c r="A121" s="102"/>
      <c r="B121" s="475" t="s">
        <v>203</v>
      </c>
      <c r="C121" s="475"/>
      <c r="D121" s="475"/>
      <c r="E121" s="475"/>
      <c r="F121" s="475"/>
      <c r="G121" s="475"/>
      <c r="H121" s="475"/>
      <c r="I121" s="475"/>
      <c r="J121" s="475"/>
      <c r="K121" s="475"/>
      <c r="L121" s="475"/>
      <c r="M121" s="475"/>
      <c r="N121" s="475"/>
      <c r="O121" s="475"/>
      <c r="P121" s="475"/>
      <c r="Q121" s="475"/>
      <c r="R121" s="475"/>
      <c r="S121" s="475"/>
      <c r="T121" s="475"/>
      <c r="U121" s="475"/>
      <c r="V121" s="475"/>
      <c r="W121" s="112"/>
      <c r="X121" s="112"/>
      <c r="Y121" s="112"/>
      <c r="Z121" s="112"/>
      <c r="AA121" s="112"/>
      <c r="AB121" s="112"/>
      <c r="AC121" s="112"/>
      <c r="AD121" s="112"/>
      <c r="AE121" s="112"/>
      <c r="AF121" s="112"/>
      <c r="AG121" s="112"/>
      <c r="AH121" s="112"/>
      <c r="AI121" s="112"/>
      <c r="AJ121" s="112"/>
      <c r="AK121" s="112"/>
      <c r="AL121" s="103"/>
      <c r="AM121" s="103"/>
      <c r="AN121" s="103"/>
      <c r="AO121" s="103"/>
      <c r="AP121" s="103"/>
      <c r="AQ121" s="103"/>
      <c r="AR121" s="103"/>
      <c r="AS121" s="103"/>
      <c r="AT121" s="103"/>
      <c r="AU121" s="103"/>
    </row>
    <row r="122" spans="1:58" ht="16" customHeight="1">
      <c r="A122" s="102"/>
      <c r="B122" s="102"/>
      <c r="C122" s="104"/>
      <c r="D122" s="104"/>
      <c r="E122" s="104"/>
      <c r="F122" s="105"/>
      <c r="G122" s="105"/>
      <c r="H122" s="105"/>
      <c r="I122" s="105"/>
      <c r="J122" s="113" t="s">
        <v>149</v>
      </c>
      <c r="K122" s="107">
        <v>2</v>
      </c>
      <c r="L122" s="102"/>
      <c r="M122" s="1"/>
      <c r="N122" s="1"/>
      <c r="O122" s="2"/>
      <c r="P122" s="2"/>
      <c r="Q122" s="2"/>
      <c r="AH122" s="1"/>
      <c r="AI122" s="1"/>
      <c r="AJ122" s="1"/>
      <c r="AK122" s="1"/>
      <c r="AL122" s="1"/>
      <c r="BD122" s="106"/>
    </row>
    <row r="123" spans="1:58" ht="13.5" customHeight="1">
      <c r="A123" s="106"/>
      <c r="B123" s="476" t="s">
        <v>227</v>
      </c>
      <c r="C123" s="476"/>
      <c r="D123" s="476"/>
      <c r="E123" s="476"/>
      <c r="F123" s="124"/>
      <c r="G123" s="124"/>
      <c r="H123" s="125"/>
      <c r="I123" s="468" t="s">
        <v>33</v>
      </c>
      <c r="J123" s="476" t="s">
        <v>228</v>
      </c>
      <c r="K123" s="476" t="s">
        <v>150</v>
      </c>
      <c r="L123" s="477" t="s">
        <v>210</v>
      </c>
      <c r="M123" s="477"/>
      <c r="N123" s="477"/>
      <c r="O123" s="477"/>
      <c r="P123" s="477"/>
      <c r="Q123" s="477"/>
      <c r="R123" s="477"/>
      <c r="S123" s="103"/>
      <c r="T123" s="474" t="s">
        <v>226</v>
      </c>
      <c r="U123" s="474"/>
      <c r="V123" s="474"/>
      <c r="W123" s="474"/>
      <c r="X123" s="474"/>
      <c r="Y123" s="474"/>
      <c r="Z123" s="474"/>
      <c r="AA123" s="467" t="s">
        <v>225</v>
      </c>
      <c r="AB123" s="467"/>
      <c r="AC123" s="467"/>
      <c r="AD123" s="467"/>
      <c r="AE123" s="467"/>
      <c r="AF123" s="467"/>
      <c r="AG123" s="467"/>
      <c r="AH123" s="468" t="s">
        <v>209</v>
      </c>
      <c r="AI123" s="468"/>
      <c r="AJ123" s="468"/>
      <c r="AK123" s="468"/>
      <c r="AL123" s="468"/>
      <c r="AM123" s="468"/>
      <c r="AN123" s="468"/>
      <c r="AO123" s="3"/>
      <c r="AP123" s="3"/>
      <c r="AQ123" s="3"/>
      <c r="AR123" s="3"/>
      <c r="AS123" s="3"/>
      <c r="AT123" s="3"/>
      <c r="AU123" s="3"/>
      <c r="AZ123" s="1"/>
      <c r="BA123" s="1"/>
      <c r="BB123" s="1"/>
      <c r="BC123" s="1"/>
      <c r="BD123" s="1"/>
      <c r="BE123" s="1"/>
      <c r="BF123" s="1"/>
    </row>
    <row r="124" spans="1:58" ht="17.25" customHeight="1">
      <c r="A124" s="1"/>
      <c r="B124" s="139" t="s">
        <v>82</v>
      </c>
      <c r="C124" s="139" t="s">
        <v>80</v>
      </c>
      <c r="D124" s="139" t="s">
        <v>81</v>
      </c>
      <c r="E124" s="139" t="s">
        <v>61</v>
      </c>
      <c r="F124" s="139" t="s">
        <v>89</v>
      </c>
      <c r="G124" s="139" t="s">
        <v>129</v>
      </c>
      <c r="H124" s="139" t="s">
        <v>62</v>
      </c>
      <c r="I124" s="468"/>
      <c r="J124" s="476"/>
      <c r="K124" s="476"/>
      <c r="L124" s="108" t="s">
        <v>156</v>
      </c>
      <c r="M124" s="108" t="s">
        <v>155</v>
      </c>
      <c r="N124" s="108" t="s">
        <v>208</v>
      </c>
      <c r="O124" s="108" t="s">
        <v>154</v>
      </c>
      <c r="P124" s="108" t="s">
        <v>153</v>
      </c>
      <c r="Q124" s="108" t="s">
        <v>152</v>
      </c>
      <c r="R124" s="108" t="s">
        <v>151</v>
      </c>
      <c r="S124" s="103"/>
      <c r="T124" s="139" t="s">
        <v>156</v>
      </c>
      <c r="U124" s="139" t="s">
        <v>155</v>
      </c>
      <c r="V124" s="139" t="s">
        <v>207</v>
      </c>
      <c r="W124" s="139" t="s">
        <v>154</v>
      </c>
      <c r="X124" s="139" t="s">
        <v>153</v>
      </c>
      <c r="Y124" s="139" t="s">
        <v>152</v>
      </c>
      <c r="Z124" s="139" t="s">
        <v>151</v>
      </c>
      <c r="AA124" s="139" t="s">
        <v>156</v>
      </c>
      <c r="AB124" s="139" t="s">
        <v>155</v>
      </c>
      <c r="AC124" s="139" t="s">
        <v>208</v>
      </c>
      <c r="AD124" s="139" t="s">
        <v>154</v>
      </c>
      <c r="AE124" s="139" t="s">
        <v>153</v>
      </c>
      <c r="AF124" s="139" t="s">
        <v>152</v>
      </c>
      <c r="AG124" s="139" t="s">
        <v>151</v>
      </c>
      <c r="AH124" s="139" t="s">
        <v>156</v>
      </c>
      <c r="AI124" s="139" t="s">
        <v>155</v>
      </c>
      <c r="AJ124" s="139" t="s">
        <v>208</v>
      </c>
      <c r="AK124" s="139" t="s">
        <v>154</v>
      </c>
      <c r="AL124" s="139" t="s">
        <v>153</v>
      </c>
      <c r="AM124" s="139" t="s">
        <v>152</v>
      </c>
      <c r="AN124" s="139" t="s">
        <v>151</v>
      </c>
      <c r="AO124" s="3"/>
      <c r="AP124" s="3"/>
      <c r="AQ124" s="3"/>
      <c r="AR124" s="3"/>
      <c r="AS124" s="3"/>
      <c r="AT124" s="3"/>
      <c r="AU124" s="3"/>
      <c r="AZ124" s="1"/>
      <c r="BA124" s="1"/>
      <c r="BB124" s="1"/>
      <c r="BC124" s="1"/>
      <c r="BD124" s="1"/>
      <c r="BE124" s="1"/>
      <c r="BF124" s="1"/>
    </row>
    <row r="125" spans="1:58">
      <c r="A125" s="109">
        <v>1</v>
      </c>
      <c r="B125" s="114" t="str">
        <f>VLOOKUP(A125,P_DIS!$B$32:$Q$263,12)</f>
        <v>-</v>
      </c>
      <c r="C125" s="114" t="str">
        <f>VLOOKUP(A125,P_DIS!$B$32:$Q$263,13)</f>
        <v>-</v>
      </c>
      <c r="D125" s="114" t="str">
        <f>VLOOKUP(A125,P_DIS!$B$32:$Q$263,15)</f>
        <v>-</v>
      </c>
      <c r="E125" s="114" t="str">
        <f>VLOOKUP(A125,P_DIS!$B$32:$Q$263,14)</f>
        <v>-</v>
      </c>
      <c r="F125" s="114">
        <f>VLOOKUP(A125,P_DIS!$B$32:$Q$263,10)</f>
        <v>0</v>
      </c>
      <c r="G125" s="114" t="str">
        <f>VLOOKUP(A125,P_DIS!$B$32:$Q$263,11)</f>
        <v>-</v>
      </c>
      <c r="H125" s="114" t="str">
        <f>VLOOKUP(A125,P_DIS!$B$32:$Q$263,16)</f>
        <v>-</v>
      </c>
      <c r="I125" s="115" t="str">
        <f>IF(H125="-","",SUM(AH125:AN125))</f>
        <v/>
      </c>
      <c r="J125" s="116" t="str">
        <f>IF(H125="-","",SQRT(I125))</f>
        <v/>
      </c>
      <c r="K125" s="117" t="str">
        <f>IF(H125="-","",J125*$K$122)</f>
        <v/>
      </c>
      <c r="L125" s="118" t="str">
        <f>IF(H125="-","",AH125/I125)</f>
        <v/>
      </c>
      <c r="M125" s="118" t="str">
        <f>IF(H125="-","",AI125/I125)</f>
        <v/>
      </c>
      <c r="N125" s="118" t="str">
        <f>IF(H125="-","",AJ125/I125)</f>
        <v/>
      </c>
      <c r="O125" s="118" t="str">
        <f>IF(H125="-","",AK125/I125)</f>
        <v/>
      </c>
      <c r="P125" s="118" t="str">
        <f>IF(H125="-","",AL125/I125)</f>
        <v/>
      </c>
      <c r="Q125" s="118" t="str">
        <f>IF(H125="-","",AM125/I125)</f>
        <v/>
      </c>
      <c r="R125" s="118" t="str">
        <f>IF(H125="-","",AN125/I125)</f>
        <v/>
      </c>
      <c r="S125" s="118" t="str">
        <f>IF(H125="-","",SUM(L125:R125))</f>
        <v/>
      </c>
      <c r="T125" s="119" t="str">
        <f t="shared" ref="T125:T188" si="33">IF(H125="-","",$Q$28*POWER(H125,2)+$Q$29*H125+$Q$30)</f>
        <v/>
      </c>
      <c r="U125" s="119" t="str">
        <f t="shared" ref="U125:U188" si="34">IF(H125="-","",$Q$55*POWER(H125,2)+$Q$56*H125+$Q$57)</f>
        <v/>
      </c>
      <c r="V125" s="120" t="str">
        <f t="shared" ref="V125:V188" si="35">IF(H125="-","",$L$77*SQRT($L$78+((POWER(F125-$H$77,2)/$L$79))))</f>
        <v/>
      </c>
      <c r="W125" s="120" t="str">
        <f t="shared" ref="W125:W188" si="36">IF(H125="-","",$G$99)</f>
        <v/>
      </c>
      <c r="X125" s="120" t="str">
        <f t="shared" ref="X125:X156" si="37">IF(H125="-","",SQRT($D$88+($D$89*POWER(B125,2))))</f>
        <v/>
      </c>
      <c r="Y125" s="121" t="str">
        <f t="shared" ref="Y125:Y156" si="38">IF(H125="-","",$D$109)</f>
        <v/>
      </c>
      <c r="Z125" s="121" t="str">
        <f t="shared" ref="Z125:Z156" si="39">IF(H125="-","",$G$118)</f>
        <v/>
      </c>
      <c r="AA125" s="122">
        <v>1</v>
      </c>
      <c r="AB125" s="123">
        <v>1</v>
      </c>
      <c r="AC125" s="123" t="str">
        <f>IF(H125="-","",(C125/B125)*(E125/D125))</f>
        <v/>
      </c>
      <c r="AD125" s="123" t="str">
        <f>IF(H125="-","",G125*(1/B125)*(E125/D125))</f>
        <v/>
      </c>
      <c r="AE125" s="123" t="str">
        <f>IF(H125="-","",-G125*(C125/POWER(B125,2))*(E125/D125))</f>
        <v/>
      </c>
      <c r="AF125" s="123" t="str">
        <f>IF(H125="-","",G125*(C125/B125)*(1/D125))</f>
        <v/>
      </c>
      <c r="AG125" s="123" t="str">
        <f>IF(H125="-","",-G125*(C125/B125)*(E125/POWER(D125,2)))</f>
        <v/>
      </c>
      <c r="AH125" s="115" t="str">
        <f>IF(H125="-","",POWER(AA125*T125,2))</f>
        <v/>
      </c>
      <c r="AI125" s="115" t="str">
        <f>IF(H125="-","",POWER(AB125*U125,2))</f>
        <v/>
      </c>
      <c r="AJ125" s="115" t="str">
        <f>IF(H125="-","",POWER(AC125*V125,2))</f>
        <v/>
      </c>
      <c r="AK125" s="115" t="str">
        <f>IF(H125="-","",POWER(AD125*W125,2))</f>
        <v/>
      </c>
      <c r="AL125" s="115" t="str">
        <f>IF(H125="-","",POWER(AE125*X125,2))</f>
        <v/>
      </c>
      <c r="AM125" s="115" t="str">
        <f>IF(H125="-","",POWER(AF125*Y125,2))</f>
        <v/>
      </c>
      <c r="AN125" s="115" t="str">
        <f>IF(H125="-","",POWER(AG125*Z125,2))</f>
        <v/>
      </c>
      <c r="AO125" s="3"/>
      <c r="AP125" s="3"/>
      <c r="AQ125" s="3"/>
      <c r="AR125" s="3"/>
      <c r="AS125" s="3"/>
      <c r="AT125" s="3"/>
      <c r="AU125" s="3"/>
      <c r="AZ125" s="1"/>
      <c r="BA125" s="1"/>
      <c r="BB125" s="1"/>
      <c r="BC125" s="1"/>
      <c r="BD125" s="1"/>
      <c r="BE125" s="1"/>
      <c r="BF125" s="1"/>
    </row>
    <row r="126" spans="1:58">
      <c r="A126" s="109">
        <v>2</v>
      </c>
      <c r="B126" s="114" t="str">
        <f>VLOOKUP(A126,P_DIS!$B$32:$Q$263,12)</f>
        <v>-</v>
      </c>
      <c r="C126" s="114" t="str">
        <f>VLOOKUP(A126,P_DIS!$B$32:$Q$263,13)</f>
        <v>-</v>
      </c>
      <c r="D126" s="114" t="str">
        <f>VLOOKUP(A126,P_DIS!$B$32:$Q$263,15)</f>
        <v>-</v>
      </c>
      <c r="E126" s="114" t="str">
        <f>VLOOKUP(A126,P_DIS!$B$32:$Q$263,14)</f>
        <v>-</v>
      </c>
      <c r="F126" s="114">
        <f>VLOOKUP(A126,P_DIS!$B$32:$Q$263,10)</f>
        <v>0</v>
      </c>
      <c r="G126" s="114" t="str">
        <f>VLOOKUP(A126,P_DIS!$B$32:$Q$263,11)</f>
        <v>-</v>
      </c>
      <c r="H126" s="114" t="str">
        <f>VLOOKUP(A126,P_DIS!$B$32:$Q$263,16)</f>
        <v>-</v>
      </c>
      <c r="I126" s="115" t="str">
        <f t="shared" ref="I126:I189" si="40">IF(H126="-","",SUM(AH126:AN126))</f>
        <v/>
      </c>
      <c r="J126" s="116" t="str">
        <f t="shared" ref="J126:J189" si="41">IF(H126="-","",SQRT(I126))</f>
        <v/>
      </c>
      <c r="K126" s="117" t="str">
        <f t="shared" ref="K126:K189" si="42">IF(H126="-","",J126*$K$122)</f>
        <v/>
      </c>
      <c r="L126" s="118" t="str">
        <f t="shared" ref="L126:L189" si="43">IF(H126="-","",AH126/I126)</f>
        <v/>
      </c>
      <c r="M126" s="118" t="str">
        <f t="shared" ref="M126:M189" si="44">IF(H126="-","",AI126/I126)</f>
        <v/>
      </c>
      <c r="N126" s="118" t="str">
        <f t="shared" ref="N126:N189" si="45">IF(H126="-","",AJ126/I126)</f>
        <v/>
      </c>
      <c r="O126" s="118" t="str">
        <f t="shared" ref="O126:O189" si="46">IF(H126="-","",AK126/I126)</f>
        <v/>
      </c>
      <c r="P126" s="118" t="str">
        <f t="shared" ref="P126:P189" si="47">IF(H126="-","",AL126/I126)</f>
        <v/>
      </c>
      <c r="Q126" s="118" t="str">
        <f t="shared" ref="Q126:Q189" si="48">IF(H126="-","",AM126/I126)</f>
        <v/>
      </c>
      <c r="R126" s="118" t="str">
        <f t="shared" ref="R126:R189" si="49">IF(H126="-","",AN126/I126)</f>
        <v/>
      </c>
      <c r="S126" s="118" t="str">
        <f t="shared" ref="S126:S189" si="50">IF(H126="-","",SUM(L126:R126))</f>
        <v/>
      </c>
      <c r="T126" s="119" t="str">
        <f t="shared" si="33"/>
        <v/>
      </c>
      <c r="U126" s="119" t="str">
        <f t="shared" si="34"/>
        <v/>
      </c>
      <c r="V126" s="120" t="str">
        <f t="shared" si="35"/>
        <v/>
      </c>
      <c r="W126" s="120" t="str">
        <f t="shared" si="36"/>
        <v/>
      </c>
      <c r="X126" s="120" t="str">
        <f t="shared" si="37"/>
        <v/>
      </c>
      <c r="Y126" s="121" t="str">
        <f t="shared" si="38"/>
        <v/>
      </c>
      <c r="Z126" s="121" t="str">
        <f t="shared" si="39"/>
        <v/>
      </c>
      <c r="AA126" s="122">
        <v>1</v>
      </c>
      <c r="AB126" s="123">
        <v>1</v>
      </c>
      <c r="AC126" s="123" t="str">
        <f t="shared" ref="AC126:AC189" si="51">IF(H126="-","",(C126/B126)*(E126/D126))</f>
        <v/>
      </c>
      <c r="AD126" s="123" t="str">
        <f t="shared" ref="AD126:AD189" si="52">IF(H126="-","",G126*(1/B126)*(E126/D126))</f>
        <v/>
      </c>
      <c r="AE126" s="123" t="str">
        <f t="shared" ref="AE126:AE189" si="53">IF(H126="-","",-G126*(C126/POWER(B126,2))*(E126/D126))</f>
        <v/>
      </c>
      <c r="AF126" s="123" t="str">
        <f t="shared" ref="AF126:AF189" si="54">IF(H126="-","",G126*(C126/B126)*(1/D126))</f>
        <v/>
      </c>
      <c r="AG126" s="123" t="str">
        <f t="shared" ref="AG126:AG189" si="55">IF(H126="-","",-G126*(C126/B126)*(E126/POWER(D126,2)))</f>
        <v/>
      </c>
      <c r="AH126" s="115" t="str">
        <f t="shared" ref="AH126:AH189" si="56">IF(H126="-","",POWER(AA126*T126,2))</f>
        <v/>
      </c>
      <c r="AI126" s="115" t="str">
        <f t="shared" ref="AI126:AI189" si="57">IF(H126="-","",POWER(AB126*U126,2))</f>
        <v/>
      </c>
      <c r="AJ126" s="115" t="str">
        <f t="shared" ref="AJ126:AJ189" si="58">IF(H126="-","",POWER(AC126*V126,2))</f>
        <v/>
      </c>
      <c r="AK126" s="115" t="str">
        <f t="shared" ref="AK126:AK189" si="59">IF(H126="-","",POWER(AD126*W126,2))</f>
        <v/>
      </c>
      <c r="AL126" s="115" t="str">
        <f t="shared" ref="AL126:AL189" si="60">IF(H126="-","",POWER(AE126*X126,2))</f>
        <v/>
      </c>
      <c r="AM126" s="115" t="str">
        <f t="shared" ref="AM126:AM189" si="61">IF(H126="-","",POWER(AF126*Y126,2))</f>
        <v/>
      </c>
      <c r="AN126" s="115" t="str">
        <f t="shared" ref="AN126:AN189" si="62">IF(H126="-","",POWER(AG126*Z126,2))</f>
        <v/>
      </c>
      <c r="AO126" s="3"/>
      <c r="AP126" s="3"/>
      <c r="AQ126" s="3"/>
      <c r="AR126" s="3"/>
      <c r="AS126" s="3"/>
      <c r="AT126" s="3"/>
      <c r="AU126" s="3"/>
      <c r="AZ126" s="1"/>
      <c r="BA126" s="1"/>
      <c r="BB126" s="1"/>
      <c r="BC126" s="1"/>
      <c r="BD126" s="1"/>
      <c r="BE126" s="1"/>
      <c r="BF126" s="1"/>
    </row>
    <row r="127" spans="1:58">
      <c r="A127" s="109">
        <v>3</v>
      </c>
      <c r="B127" s="114" t="str">
        <f>VLOOKUP(A127,P_DIS!$B$32:$Q$263,12)</f>
        <v>-</v>
      </c>
      <c r="C127" s="114" t="str">
        <f>VLOOKUP(A127,P_DIS!$B$32:$Q$263,13)</f>
        <v>-</v>
      </c>
      <c r="D127" s="114" t="str">
        <f>VLOOKUP(A127,P_DIS!$B$32:$Q$263,15)</f>
        <v>-</v>
      </c>
      <c r="E127" s="114" t="str">
        <f>VLOOKUP(A127,P_DIS!$B$32:$Q$263,14)</f>
        <v>-</v>
      </c>
      <c r="F127" s="114">
        <f>VLOOKUP(A127,P_DIS!$B$32:$Q$263,10)</f>
        <v>0</v>
      </c>
      <c r="G127" s="114" t="str">
        <f>VLOOKUP(A127,P_DIS!$B$32:$Q$263,11)</f>
        <v>-</v>
      </c>
      <c r="H127" s="114" t="str">
        <f>VLOOKUP(A127,P_DIS!$B$32:$Q$263,16)</f>
        <v>-</v>
      </c>
      <c r="I127" s="115" t="str">
        <f t="shared" si="40"/>
        <v/>
      </c>
      <c r="J127" s="116" t="str">
        <f t="shared" si="41"/>
        <v/>
      </c>
      <c r="K127" s="117" t="str">
        <f t="shared" si="42"/>
        <v/>
      </c>
      <c r="L127" s="118" t="str">
        <f t="shared" si="43"/>
        <v/>
      </c>
      <c r="M127" s="118" t="str">
        <f t="shared" si="44"/>
        <v/>
      </c>
      <c r="N127" s="118" t="str">
        <f t="shared" si="45"/>
        <v/>
      </c>
      <c r="O127" s="118" t="str">
        <f t="shared" si="46"/>
        <v/>
      </c>
      <c r="P127" s="118" t="str">
        <f t="shared" si="47"/>
        <v/>
      </c>
      <c r="Q127" s="118" t="str">
        <f t="shared" si="48"/>
        <v/>
      </c>
      <c r="R127" s="118" t="str">
        <f t="shared" si="49"/>
        <v/>
      </c>
      <c r="S127" s="118" t="str">
        <f t="shared" si="50"/>
        <v/>
      </c>
      <c r="T127" s="119" t="str">
        <f t="shared" si="33"/>
        <v/>
      </c>
      <c r="U127" s="119" t="str">
        <f t="shared" si="34"/>
        <v/>
      </c>
      <c r="V127" s="120" t="str">
        <f t="shared" si="35"/>
        <v/>
      </c>
      <c r="W127" s="120" t="str">
        <f t="shared" si="36"/>
        <v/>
      </c>
      <c r="X127" s="120" t="str">
        <f t="shared" si="37"/>
        <v/>
      </c>
      <c r="Y127" s="121" t="str">
        <f t="shared" si="38"/>
        <v/>
      </c>
      <c r="Z127" s="121" t="str">
        <f t="shared" si="39"/>
        <v/>
      </c>
      <c r="AA127" s="122">
        <v>1</v>
      </c>
      <c r="AB127" s="123">
        <v>1</v>
      </c>
      <c r="AC127" s="123" t="str">
        <f t="shared" si="51"/>
        <v/>
      </c>
      <c r="AD127" s="123" t="str">
        <f t="shared" si="52"/>
        <v/>
      </c>
      <c r="AE127" s="123" t="str">
        <f t="shared" si="53"/>
        <v/>
      </c>
      <c r="AF127" s="123" t="str">
        <f t="shared" si="54"/>
        <v/>
      </c>
      <c r="AG127" s="123" t="str">
        <f t="shared" si="55"/>
        <v/>
      </c>
      <c r="AH127" s="115" t="str">
        <f t="shared" si="56"/>
        <v/>
      </c>
      <c r="AI127" s="115" t="str">
        <f t="shared" si="57"/>
        <v/>
      </c>
      <c r="AJ127" s="115" t="str">
        <f t="shared" si="58"/>
        <v/>
      </c>
      <c r="AK127" s="115" t="str">
        <f t="shared" si="59"/>
        <v/>
      </c>
      <c r="AL127" s="115" t="str">
        <f t="shared" si="60"/>
        <v/>
      </c>
      <c r="AM127" s="115" t="str">
        <f t="shared" si="61"/>
        <v/>
      </c>
      <c r="AN127" s="115" t="str">
        <f t="shared" si="62"/>
        <v/>
      </c>
      <c r="AO127" s="3"/>
      <c r="AP127" s="3"/>
      <c r="AQ127" s="3"/>
      <c r="AR127" s="3"/>
      <c r="AS127" s="3"/>
      <c r="AT127" s="3"/>
      <c r="AU127" s="3"/>
      <c r="AZ127" s="1"/>
      <c r="BA127" s="1"/>
      <c r="BB127" s="1"/>
      <c r="BC127" s="1"/>
      <c r="BD127" s="1"/>
      <c r="BE127" s="1"/>
      <c r="BF127" s="1"/>
    </row>
    <row r="128" spans="1:58">
      <c r="A128" s="109">
        <v>4</v>
      </c>
      <c r="B128" s="114" t="str">
        <f>VLOOKUP(A128,P_DIS!$B$32:$Q$263,12)</f>
        <v>-</v>
      </c>
      <c r="C128" s="114" t="str">
        <f>VLOOKUP(A128,P_DIS!$B$32:$Q$263,13)</f>
        <v>-</v>
      </c>
      <c r="D128" s="114" t="str">
        <f>VLOOKUP(A128,P_DIS!$B$32:$Q$263,15)</f>
        <v>-</v>
      </c>
      <c r="E128" s="114" t="str">
        <f>VLOOKUP(A128,P_DIS!$B$32:$Q$263,14)</f>
        <v>-</v>
      </c>
      <c r="F128" s="114">
        <f>VLOOKUP(A128,P_DIS!$B$32:$Q$263,10)</f>
        <v>0</v>
      </c>
      <c r="G128" s="114" t="str">
        <f>VLOOKUP(A128,P_DIS!$B$32:$Q$263,11)</f>
        <v>-</v>
      </c>
      <c r="H128" s="114" t="str">
        <f>VLOOKUP(A128,P_DIS!$B$32:$Q$263,16)</f>
        <v>-</v>
      </c>
      <c r="I128" s="115" t="str">
        <f t="shared" si="40"/>
        <v/>
      </c>
      <c r="J128" s="116" t="str">
        <f t="shared" si="41"/>
        <v/>
      </c>
      <c r="K128" s="117" t="str">
        <f t="shared" si="42"/>
        <v/>
      </c>
      <c r="L128" s="118" t="str">
        <f t="shared" si="43"/>
        <v/>
      </c>
      <c r="M128" s="118" t="str">
        <f t="shared" si="44"/>
        <v/>
      </c>
      <c r="N128" s="118" t="str">
        <f t="shared" si="45"/>
        <v/>
      </c>
      <c r="O128" s="118" t="str">
        <f t="shared" si="46"/>
        <v/>
      </c>
      <c r="P128" s="118" t="str">
        <f t="shared" si="47"/>
        <v/>
      </c>
      <c r="Q128" s="118" t="str">
        <f t="shared" si="48"/>
        <v/>
      </c>
      <c r="R128" s="118" t="str">
        <f t="shared" si="49"/>
        <v/>
      </c>
      <c r="S128" s="118" t="str">
        <f t="shared" si="50"/>
        <v/>
      </c>
      <c r="T128" s="119" t="str">
        <f t="shared" si="33"/>
        <v/>
      </c>
      <c r="U128" s="119" t="str">
        <f t="shared" si="34"/>
        <v/>
      </c>
      <c r="V128" s="120" t="str">
        <f t="shared" si="35"/>
        <v/>
      </c>
      <c r="W128" s="120" t="str">
        <f t="shared" si="36"/>
        <v/>
      </c>
      <c r="X128" s="120" t="str">
        <f t="shared" si="37"/>
        <v/>
      </c>
      <c r="Y128" s="121" t="str">
        <f t="shared" si="38"/>
        <v/>
      </c>
      <c r="Z128" s="121" t="str">
        <f t="shared" si="39"/>
        <v/>
      </c>
      <c r="AA128" s="122">
        <v>1</v>
      </c>
      <c r="AB128" s="123">
        <v>1</v>
      </c>
      <c r="AC128" s="123" t="str">
        <f t="shared" si="51"/>
        <v/>
      </c>
      <c r="AD128" s="123" t="str">
        <f t="shared" si="52"/>
        <v/>
      </c>
      <c r="AE128" s="123" t="str">
        <f t="shared" si="53"/>
        <v/>
      </c>
      <c r="AF128" s="123" t="str">
        <f t="shared" si="54"/>
        <v/>
      </c>
      <c r="AG128" s="123" t="str">
        <f t="shared" si="55"/>
        <v/>
      </c>
      <c r="AH128" s="115" t="str">
        <f t="shared" si="56"/>
        <v/>
      </c>
      <c r="AI128" s="115" t="str">
        <f t="shared" si="57"/>
        <v/>
      </c>
      <c r="AJ128" s="115" t="str">
        <f t="shared" si="58"/>
        <v/>
      </c>
      <c r="AK128" s="115" t="str">
        <f t="shared" si="59"/>
        <v/>
      </c>
      <c r="AL128" s="115" t="str">
        <f t="shared" si="60"/>
        <v/>
      </c>
      <c r="AM128" s="115" t="str">
        <f t="shared" si="61"/>
        <v/>
      </c>
      <c r="AN128" s="115" t="str">
        <f t="shared" si="62"/>
        <v/>
      </c>
      <c r="AO128" s="3"/>
      <c r="AP128" s="3"/>
      <c r="AQ128" s="3"/>
      <c r="AR128" s="3"/>
      <c r="AS128" s="3"/>
      <c r="AT128" s="3"/>
      <c r="AU128" s="3"/>
      <c r="AZ128" s="1"/>
      <c r="BA128" s="1"/>
      <c r="BB128" s="1"/>
      <c r="BC128" s="1"/>
      <c r="BD128" s="1"/>
      <c r="BE128" s="1"/>
      <c r="BF128" s="1"/>
    </row>
    <row r="129" spans="1:58">
      <c r="A129" s="109">
        <v>5</v>
      </c>
      <c r="B129" s="114" t="str">
        <f>VLOOKUP(A129,P_DIS!$B$32:$Q$263,12)</f>
        <v>-</v>
      </c>
      <c r="C129" s="114" t="str">
        <f>VLOOKUP(A129,P_DIS!$B$32:$Q$263,13)</f>
        <v>-</v>
      </c>
      <c r="D129" s="114" t="str">
        <f>VLOOKUP(A129,P_DIS!$B$32:$Q$263,15)</f>
        <v>-</v>
      </c>
      <c r="E129" s="114" t="str">
        <f>VLOOKUP(A129,P_DIS!$B$32:$Q$263,14)</f>
        <v>-</v>
      </c>
      <c r="F129" s="114">
        <f>VLOOKUP(A129,P_DIS!$B$32:$Q$263,10)</f>
        <v>0</v>
      </c>
      <c r="G129" s="114" t="str">
        <f>VLOOKUP(A129,P_DIS!$B$32:$Q$263,11)</f>
        <v>-</v>
      </c>
      <c r="H129" s="114" t="str">
        <f>VLOOKUP(A129,P_DIS!$B$32:$Q$263,16)</f>
        <v>-</v>
      </c>
      <c r="I129" s="115" t="str">
        <f t="shared" si="40"/>
        <v/>
      </c>
      <c r="J129" s="116" t="str">
        <f t="shared" si="41"/>
        <v/>
      </c>
      <c r="K129" s="117" t="str">
        <f t="shared" si="42"/>
        <v/>
      </c>
      <c r="L129" s="118" t="str">
        <f t="shared" si="43"/>
        <v/>
      </c>
      <c r="M129" s="118" t="str">
        <f t="shared" si="44"/>
        <v/>
      </c>
      <c r="N129" s="118" t="str">
        <f t="shared" si="45"/>
        <v/>
      </c>
      <c r="O129" s="118" t="str">
        <f t="shared" si="46"/>
        <v/>
      </c>
      <c r="P129" s="118" t="str">
        <f t="shared" si="47"/>
        <v/>
      </c>
      <c r="Q129" s="118" t="str">
        <f t="shared" si="48"/>
        <v/>
      </c>
      <c r="R129" s="118" t="str">
        <f t="shared" si="49"/>
        <v/>
      </c>
      <c r="S129" s="118" t="str">
        <f t="shared" si="50"/>
        <v/>
      </c>
      <c r="T129" s="119" t="str">
        <f t="shared" si="33"/>
        <v/>
      </c>
      <c r="U129" s="119" t="str">
        <f t="shared" si="34"/>
        <v/>
      </c>
      <c r="V129" s="120" t="str">
        <f t="shared" si="35"/>
        <v/>
      </c>
      <c r="W129" s="120" t="str">
        <f t="shared" si="36"/>
        <v/>
      </c>
      <c r="X129" s="120" t="str">
        <f t="shared" si="37"/>
        <v/>
      </c>
      <c r="Y129" s="121" t="str">
        <f t="shared" si="38"/>
        <v/>
      </c>
      <c r="Z129" s="121" t="str">
        <f t="shared" si="39"/>
        <v/>
      </c>
      <c r="AA129" s="122">
        <v>1</v>
      </c>
      <c r="AB129" s="123">
        <v>1</v>
      </c>
      <c r="AC129" s="123" t="str">
        <f t="shared" si="51"/>
        <v/>
      </c>
      <c r="AD129" s="123" t="str">
        <f t="shared" si="52"/>
        <v/>
      </c>
      <c r="AE129" s="123" t="str">
        <f t="shared" si="53"/>
        <v/>
      </c>
      <c r="AF129" s="123" t="str">
        <f t="shared" si="54"/>
        <v/>
      </c>
      <c r="AG129" s="123" t="str">
        <f t="shared" si="55"/>
        <v/>
      </c>
      <c r="AH129" s="115" t="str">
        <f t="shared" si="56"/>
        <v/>
      </c>
      <c r="AI129" s="115" t="str">
        <f t="shared" si="57"/>
        <v/>
      </c>
      <c r="AJ129" s="115" t="str">
        <f t="shared" si="58"/>
        <v/>
      </c>
      <c r="AK129" s="115" t="str">
        <f t="shared" si="59"/>
        <v/>
      </c>
      <c r="AL129" s="115" t="str">
        <f t="shared" si="60"/>
        <v/>
      </c>
      <c r="AM129" s="115" t="str">
        <f t="shared" si="61"/>
        <v/>
      </c>
      <c r="AN129" s="115" t="str">
        <f t="shared" si="62"/>
        <v/>
      </c>
      <c r="AO129" s="3"/>
      <c r="AP129" s="3"/>
      <c r="AQ129" s="3"/>
      <c r="AR129" s="3"/>
      <c r="AS129" s="3"/>
      <c r="AT129" s="3"/>
      <c r="AU129" s="3"/>
      <c r="AZ129" s="1"/>
      <c r="BA129" s="1"/>
      <c r="BB129" s="1"/>
      <c r="BC129" s="1"/>
      <c r="BD129" s="1"/>
      <c r="BE129" s="1"/>
      <c r="BF129" s="1"/>
    </row>
    <row r="130" spans="1:58">
      <c r="A130" s="109">
        <v>6</v>
      </c>
      <c r="B130" s="114" t="str">
        <f>VLOOKUP(A130,P_DIS!$B$32:$Q$263,12)</f>
        <v>-</v>
      </c>
      <c r="C130" s="114" t="str">
        <f>VLOOKUP(A130,P_DIS!$B$32:$Q$263,13)</f>
        <v>-</v>
      </c>
      <c r="D130" s="114" t="str">
        <f>VLOOKUP(A130,P_DIS!$B$32:$Q$263,15)</f>
        <v>-</v>
      </c>
      <c r="E130" s="114" t="str">
        <f>VLOOKUP(A130,P_DIS!$B$32:$Q$263,14)</f>
        <v>-</v>
      </c>
      <c r="F130" s="114">
        <f>VLOOKUP(A130,P_DIS!$B$32:$Q$263,10)</f>
        <v>0</v>
      </c>
      <c r="G130" s="114" t="str">
        <f>VLOOKUP(A130,P_DIS!$B$32:$Q$263,11)</f>
        <v>-</v>
      </c>
      <c r="H130" s="114" t="str">
        <f>VLOOKUP(A130,P_DIS!$B$32:$Q$263,16)</f>
        <v>-</v>
      </c>
      <c r="I130" s="115" t="str">
        <f t="shared" si="40"/>
        <v/>
      </c>
      <c r="J130" s="116" t="str">
        <f t="shared" si="41"/>
        <v/>
      </c>
      <c r="K130" s="117" t="str">
        <f t="shared" si="42"/>
        <v/>
      </c>
      <c r="L130" s="118" t="str">
        <f t="shared" si="43"/>
        <v/>
      </c>
      <c r="M130" s="118" t="str">
        <f t="shared" si="44"/>
        <v/>
      </c>
      <c r="N130" s="118" t="str">
        <f t="shared" si="45"/>
        <v/>
      </c>
      <c r="O130" s="118" t="str">
        <f t="shared" si="46"/>
        <v/>
      </c>
      <c r="P130" s="118" t="str">
        <f t="shared" si="47"/>
        <v/>
      </c>
      <c r="Q130" s="118" t="str">
        <f t="shared" si="48"/>
        <v/>
      </c>
      <c r="R130" s="118" t="str">
        <f t="shared" si="49"/>
        <v/>
      </c>
      <c r="S130" s="118" t="str">
        <f t="shared" si="50"/>
        <v/>
      </c>
      <c r="T130" s="119" t="str">
        <f t="shared" si="33"/>
        <v/>
      </c>
      <c r="U130" s="119" t="str">
        <f t="shared" si="34"/>
        <v/>
      </c>
      <c r="V130" s="120" t="str">
        <f t="shared" si="35"/>
        <v/>
      </c>
      <c r="W130" s="120" t="str">
        <f t="shared" si="36"/>
        <v/>
      </c>
      <c r="X130" s="120" t="str">
        <f t="shared" si="37"/>
        <v/>
      </c>
      <c r="Y130" s="121" t="str">
        <f t="shared" si="38"/>
        <v/>
      </c>
      <c r="Z130" s="121" t="str">
        <f t="shared" si="39"/>
        <v/>
      </c>
      <c r="AA130" s="122">
        <v>1</v>
      </c>
      <c r="AB130" s="123">
        <v>1</v>
      </c>
      <c r="AC130" s="123" t="str">
        <f t="shared" si="51"/>
        <v/>
      </c>
      <c r="AD130" s="123" t="str">
        <f t="shared" si="52"/>
        <v/>
      </c>
      <c r="AE130" s="123" t="str">
        <f t="shared" si="53"/>
        <v/>
      </c>
      <c r="AF130" s="123" t="str">
        <f t="shared" si="54"/>
        <v/>
      </c>
      <c r="AG130" s="123" t="str">
        <f t="shared" si="55"/>
        <v/>
      </c>
      <c r="AH130" s="115" t="str">
        <f t="shared" si="56"/>
        <v/>
      </c>
      <c r="AI130" s="115" t="str">
        <f t="shared" si="57"/>
        <v/>
      </c>
      <c r="AJ130" s="115" t="str">
        <f t="shared" si="58"/>
        <v/>
      </c>
      <c r="AK130" s="115" t="str">
        <f t="shared" si="59"/>
        <v/>
      </c>
      <c r="AL130" s="115" t="str">
        <f t="shared" si="60"/>
        <v/>
      </c>
      <c r="AM130" s="115" t="str">
        <f t="shared" si="61"/>
        <v/>
      </c>
      <c r="AN130" s="115" t="str">
        <f t="shared" si="62"/>
        <v/>
      </c>
      <c r="AO130" s="3"/>
      <c r="AP130" s="3"/>
      <c r="AQ130" s="3"/>
      <c r="AR130" s="3"/>
      <c r="AS130" s="3"/>
      <c r="AT130" s="3"/>
      <c r="AU130" s="3"/>
      <c r="AZ130" s="1"/>
      <c r="BA130" s="1"/>
      <c r="BB130" s="1"/>
      <c r="BC130" s="1"/>
      <c r="BD130" s="1"/>
      <c r="BE130" s="1"/>
      <c r="BF130" s="1"/>
    </row>
    <row r="131" spans="1:58">
      <c r="A131" s="109">
        <v>7</v>
      </c>
      <c r="B131" s="114" t="str">
        <f>VLOOKUP(A131,P_DIS!$B$32:$Q$263,12)</f>
        <v>-</v>
      </c>
      <c r="C131" s="114" t="str">
        <f>VLOOKUP(A131,P_DIS!$B$32:$Q$263,13)</f>
        <v>-</v>
      </c>
      <c r="D131" s="114" t="str">
        <f>VLOOKUP(A131,P_DIS!$B$32:$Q$263,15)</f>
        <v>-</v>
      </c>
      <c r="E131" s="114" t="str">
        <f>VLOOKUP(A131,P_DIS!$B$32:$Q$263,14)</f>
        <v>-</v>
      </c>
      <c r="F131" s="114">
        <f>VLOOKUP(A131,P_DIS!$B$32:$Q$263,10)</f>
        <v>0</v>
      </c>
      <c r="G131" s="114" t="str">
        <f>VLOOKUP(A131,P_DIS!$B$32:$Q$263,11)</f>
        <v>-</v>
      </c>
      <c r="H131" s="114" t="str">
        <f>VLOOKUP(A131,P_DIS!$B$32:$Q$263,16)</f>
        <v>-</v>
      </c>
      <c r="I131" s="115" t="str">
        <f t="shared" si="40"/>
        <v/>
      </c>
      <c r="J131" s="116" t="str">
        <f t="shared" si="41"/>
        <v/>
      </c>
      <c r="K131" s="117" t="str">
        <f t="shared" si="42"/>
        <v/>
      </c>
      <c r="L131" s="118" t="str">
        <f t="shared" si="43"/>
        <v/>
      </c>
      <c r="M131" s="118" t="str">
        <f t="shared" si="44"/>
        <v/>
      </c>
      <c r="N131" s="118" t="str">
        <f t="shared" si="45"/>
        <v/>
      </c>
      <c r="O131" s="118" t="str">
        <f t="shared" si="46"/>
        <v/>
      </c>
      <c r="P131" s="118" t="str">
        <f t="shared" si="47"/>
        <v/>
      </c>
      <c r="Q131" s="118" t="str">
        <f t="shared" si="48"/>
        <v/>
      </c>
      <c r="R131" s="118" t="str">
        <f t="shared" si="49"/>
        <v/>
      </c>
      <c r="S131" s="118" t="str">
        <f t="shared" si="50"/>
        <v/>
      </c>
      <c r="T131" s="119" t="str">
        <f t="shared" si="33"/>
        <v/>
      </c>
      <c r="U131" s="119" t="str">
        <f t="shared" si="34"/>
        <v/>
      </c>
      <c r="V131" s="120" t="str">
        <f t="shared" si="35"/>
        <v/>
      </c>
      <c r="W131" s="120" t="str">
        <f t="shared" si="36"/>
        <v/>
      </c>
      <c r="X131" s="120" t="str">
        <f t="shared" si="37"/>
        <v/>
      </c>
      <c r="Y131" s="121" t="str">
        <f t="shared" si="38"/>
        <v/>
      </c>
      <c r="Z131" s="121" t="str">
        <f t="shared" si="39"/>
        <v/>
      </c>
      <c r="AA131" s="122">
        <v>1</v>
      </c>
      <c r="AB131" s="123">
        <v>1</v>
      </c>
      <c r="AC131" s="123" t="str">
        <f t="shared" si="51"/>
        <v/>
      </c>
      <c r="AD131" s="123" t="str">
        <f t="shared" si="52"/>
        <v/>
      </c>
      <c r="AE131" s="123" t="str">
        <f t="shared" si="53"/>
        <v/>
      </c>
      <c r="AF131" s="123" t="str">
        <f t="shared" si="54"/>
        <v/>
      </c>
      <c r="AG131" s="123" t="str">
        <f t="shared" si="55"/>
        <v/>
      </c>
      <c r="AH131" s="115" t="str">
        <f t="shared" si="56"/>
        <v/>
      </c>
      <c r="AI131" s="115" t="str">
        <f t="shared" si="57"/>
        <v/>
      </c>
      <c r="AJ131" s="115" t="str">
        <f t="shared" si="58"/>
        <v/>
      </c>
      <c r="AK131" s="115" t="str">
        <f t="shared" si="59"/>
        <v/>
      </c>
      <c r="AL131" s="115" t="str">
        <f t="shared" si="60"/>
        <v/>
      </c>
      <c r="AM131" s="115" t="str">
        <f t="shared" si="61"/>
        <v/>
      </c>
      <c r="AN131" s="115" t="str">
        <f t="shared" si="62"/>
        <v/>
      </c>
      <c r="AO131" s="3"/>
      <c r="AP131" s="3"/>
      <c r="AQ131" s="3"/>
      <c r="AR131" s="3"/>
      <c r="AS131" s="3"/>
      <c r="AT131" s="3"/>
      <c r="AU131" s="3"/>
      <c r="AZ131" s="1"/>
      <c r="BA131" s="1"/>
      <c r="BB131" s="1"/>
      <c r="BC131" s="1"/>
      <c r="BD131" s="1"/>
      <c r="BE131" s="1"/>
      <c r="BF131" s="1"/>
    </row>
    <row r="132" spans="1:58">
      <c r="A132" s="109">
        <v>8</v>
      </c>
      <c r="B132" s="114" t="str">
        <f>VLOOKUP(A132,P_DIS!$B$32:$Q$263,12)</f>
        <v>-</v>
      </c>
      <c r="C132" s="114" t="str">
        <f>VLOOKUP(A132,P_DIS!$B$32:$Q$263,13)</f>
        <v>-</v>
      </c>
      <c r="D132" s="114" t="str">
        <f>VLOOKUP(A132,P_DIS!$B$32:$Q$263,15)</f>
        <v>-</v>
      </c>
      <c r="E132" s="114" t="str">
        <f>VLOOKUP(A132,P_DIS!$B$32:$Q$263,14)</f>
        <v>-</v>
      </c>
      <c r="F132" s="114">
        <f>VLOOKUP(A132,P_DIS!$B$32:$Q$263,10)</f>
        <v>0</v>
      </c>
      <c r="G132" s="114" t="str">
        <f>VLOOKUP(A132,P_DIS!$B$32:$Q$263,11)</f>
        <v>-</v>
      </c>
      <c r="H132" s="114" t="str">
        <f>VLOOKUP(A132,P_DIS!$B$32:$Q$263,16)</f>
        <v>-</v>
      </c>
      <c r="I132" s="115" t="str">
        <f t="shared" si="40"/>
        <v/>
      </c>
      <c r="J132" s="116" t="str">
        <f t="shared" si="41"/>
        <v/>
      </c>
      <c r="K132" s="117" t="str">
        <f t="shared" si="42"/>
        <v/>
      </c>
      <c r="L132" s="118" t="str">
        <f t="shared" si="43"/>
        <v/>
      </c>
      <c r="M132" s="118" t="str">
        <f t="shared" si="44"/>
        <v/>
      </c>
      <c r="N132" s="118" t="str">
        <f t="shared" si="45"/>
        <v/>
      </c>
      <c r="O132" s="118" t="str">
        <f t="shared" si="46"/>
        <v/>
      </c>
      <c r="P132" s="118" t="str">
        <f t="shared" si="47"/>
        <v/>
      </c>
      <c r="Q132" s="118" t="str">
        <f t="shared" si="48"/>
        <v/>
      </c>
      <c r="R132" s="118" t="str">
        <f t="shared" si="49"/>
        <v/>
      </c>
      <c r="S132" s="118" t="str">
        <f t="shared" si="50"/>
        <v/>
      </c>
      <c r="T132" s="119" t="str">
        <f t="shared" si="33"/>
        <v/>
      </c>
      <c r="U132" s="119" t="str">
        <f t="shared" si="34"/>
        <v/>
      </c>
      <c r="V132" s="120" t="str">
        <f t="shared" si="35"/>
        <v/>
      </c>
      <c r="W132" s="120" t="str">
        <f t="shared" si="36"/>
        <v/>
      </c>
      <c r="X132" s="120" t="str">
        <f t="shared" si="37"/>
        <v/>
      </c>
      <c r="Y132" s="121" t="str">
        <f t="shared" si="38"/>
        <v/>
      </c>
      <c r="Z132" s="121" t="str">
        <f t="shared" si="39"/>
        <v/>
      </c>
      <c r="AA132" s="122">
        <v>1</v>
      </c>
      <c r="AB132" s="123">
        <v>1</v>
      </c>
      <c r="AC132" s="123" t="str">
        <f t="shared" si="51"/>
        <v/>
      </c>
      <c r="AD132" s="123" t="str">
        <f t="shared" si="52"/>
        <v/>
      </c>
      <c r="AE132" s="123" t="str">
        <f t="shared" si="53"/>
        <v/>
      </c>
      <c r="AF132" s="123" t="str">
        <f t="shared" si="54"/>
        <v/>
      </c>
      <c r="AG132" s="123" t="str">
        <f t="shared" si="55"/>
        <v/>
      </c>
      <c r="AH132" s="115" t="str">
        <f t="shared" si="56"/>
        <v/>
      </c>
      <c r="AI132" s="115" t="str">
        <f t="shared" si="57"/>
        <v/>
      </c>
      <c r="AJ132" s="115" t="str">
        <f t="shared" si="58"/>
        <v/>
      </c>
      <c r="AK132" s="115" t="str">
        <f t="shared" si="59"/>
        <v/>
      </c>
      <c r="AL132" s="115" t="str">
        <f t="shared" si="60"/>
        <v/>
      </c>
      <c r="AM132" s="115" t="str">
        <f t="shared" si="61"/>
        <v/>
      </c>
      <c r="AN132" s="115" t="str">
        <f t="shared" si="62"/>
        <v/>
      </c>
      <c r="AO132" s="3"/>
      <c r="AP132" s="3"/>
      <c r="AQ132" s="3"/>
      <c r="AR132" s="3"/>
      <c r="AS132" s="3"/>
      <c r="AT132" s="3"/>
      <c r="AU132" s="3"/>
      <c r="AZ132" s="1"/>
      <c r="BA132" s="1"/>
      <c r="BB132" s="1"/>
      <c r="BC132" s="1"/>
      <c r="BD132" s="1"/>
      <c r="BE132" s="1"/>
      <c r="BF132" s="1"/>
    </row>
    <row r="133" spans="1:58">
      <c r="A133" s="109">
        <v>9</v>
      </c>
      <c r="B133" s="114" t="str">
        <f>VLOOKUP(A133,P_DIS!$B$32:$Q$263,12)</f>
        <v>-</v>
      </c>
      <c r="C133" s="114" t="str">
        <f>VLOOKUP(A133,P_DIS!$B$32:$Q$263,13)</f>
        <v>-</v>
      </c>
      <c r="D133" s="114" t="str">
        <f>VLOOKUP(A133,P_DIS!$B$32:$Q$263,15)</f>
        <v>-</v>
      </c>
      <c r="E133" s="114" t="str">
        <f>VLOOKUP(A133,P_DIS!$B$32:$Q$263,14)</f>
        <v>-</v>
      </c>
      <c r="F133" s="114">
        <f>VLOOKUP(A133,P_DIS!$B$32:$Q$263,10)</f>
        <v>0</v>
      </c>
      <c r="G133" s="114" t="str">
        <f>VLOOKUP(A133,P_DIS!$B$32:$Q$263,11)</f>
        <v>-</v>
      </c>
      <c r="H133" s="114" t="str">
        <f>VLOOKUP(A133,P_DIS!$B$32:$Q$263,16)</f>
        <v>-</v>
      </c>
      <c r="I133" s="115" t="str">
        <f t="shared" si="40"/>
        <v/>
      </c>
      <c r="J133" s="116" t="str">
        <f t="shared" si="41"/>
        <v/>
      </c>
      <c r="K133" s="117" t="str">
        <f t="shared" si="42"/>
        <v/>
      </c>
      <c r="L133" s="118" t="str">
        <f t="shared" si="43"/>
        <v/>
      </c>
      <c r="M133" s="118" t="str">
        <f t="shared" si="44"/>
        <v/>
      </c>
      <c r="N133" s="118" t="str">
        <f t="shared" si="45"/>
        <v/>
      </c>
      <c r="O133" s="118" t="str">
        <f t="shared" si="46"/>
        <v/>
      </c>
      <c r="P133" s="118" t="str">
        <f t="shared" si="47"/>
        <v/>
      </c>
      <c r="Q133" s="118" t="str">
        <f t="shared" si="48"/>
        <v/>
      </c>
      <c r="R133" s="118" t="str">
        <f t="shared" si="49"/>
        <v/>
      </c>
      <c r="S133" s="118" t="str">
        <f t="shared" si="50"/>
        <v/>
      </c>
      <c r="T133" s="119" t="str">
        <f t="shared" si="33"/>
        <v/>
      </c>
      <c r="U133" s="119" t="str">
        <f t="shared" si="34"/>
        <v/>
      </c>
      <c r="V133" s="120" t="str">
        <f t="shared" si="35"/>
        <v/>
      </c>
      <c r="W133" s="120" t="str">
        <f t="shared" si="36"/>
        <v/>
      </c>
      <c r="X133" s="120" t="str">
        <f t="shared" si="37"/>
        <v/>
      </c>
      <c r="Y133" s="121" t="str">
        <f t="shared" si="38"/>
        <v/>
      </c>
      <c r="Z133" s="121" t="str">
        <f t="shared" si="39"/>
        <v/>
      </c>
      <c r="AA133" s="122">
        <v>1</v>
      </c>
      <c r="AB133" s="123">
        <v>1</v>
      </c>
      <c r="AC133" s="123" t="str">
        <f t="shared" si="51"/>
        <v/>
      </c>
      <c r="AD133" s="123" t="str">
        <f t="shared" si="52"/>
        <v/>
      </c>
      <c r="AE133" s="123" t="str">
        <f t="shared" si="53"/>
        <v/>
      </c>
      <c r="AF133" s="123" t="str">
        <f t="shared" si="54"/>
        <v/>
      </c>
      <c r="AG133" s="123" t="str">
        <f t="shared" si="55"/>
        <v/>
      </c>
      <c r="AH133" s="115" t="str">
        <f t="shared" si="56"/>
        <v/>
      </c>
      <c r="AI133" s="115" t="str">
        <f t="shared" si="57"/>
        <v/>
      </c>
      <c r="AJ133" s="115" t="str">
        <f t="shared" si="58"/>
        <v/>
      </c>
      <c r="AK133" s="115" t="str">
        <f t="shared" si="59"/>
        <v/>
      </c>
      <c r="AL133" s="115" t="str">
        <f t="shared" si="60"/>
        <v/>
      </c>
      <c r="AM133" s="115" t="str">
        <f t="shared" si="61"/>
        <v/>
      </c>
      <c r="AN133" s="115" t="str">
        <f t="shared" si="62"/>
        <v/>
      </c>
      <c r="AO133" s="3"/>
      <c r="AP133" s="3"/>
      <c r="AQ133" s="3"/>
      <c r="AR133" s="3"/>
      <c r="AS133" s="3"/>
      <c r="AT133" s="3"/>
      <c r="AU133" s="3"/>
      <c r="AZ133" s="1"/>
      <c r="BA133" s="1"/>
      <c r="BB133" s="1"/>
      <c r="BC133" s="1"/>
      <c r="BD133" s="1"/>
      <c r="BE133" s="1"/>
      <c r="BF133" s="1"/>
    </row>
    <row r="134" spans="1:58">
      <c r="A134" s="109">
        <v>10</v>
      </c>
      <c r="B134" s="114" t="str">
        <f>VLOOKUP(A134,P_DIS!$B$32:$Q$263,12)</f>
        <v>-</v>
      </c>
      <c r="C134" s="114" t="str">
        <f>VLOOKUP(A134,P_DIS!$B$32:$Q$263,13)</f>
        <v>-</v>
      </c>
      <c r="D134" s="114" t="str">
        <f>VLOOKUP(A134,P_DIS!$B$32:$Q$263,15)</f>
        <v>-</v>
      </c>
      <c r="E134" s="114" t="str">
        <f>VLOOKUP(A134,P_DIS!$B$32:$Q$263,14)</f>
        <v>-</v>
      </c>
      <c r="F134" s="114">
        <f>VLOOKUP(A134,P_DIS!$B$32:$Q$263,10)</f>
        <v>0</v>
      </c>
      <c r="G134" s="114" t="str">
        <f>VLOOKUP(A134,P_DIS!$B$32:$Q$263,11)</f>
        <v>-</v>
      </c>
      <c r="H134" s="114" t="str">
        <f>VLOOKUP(A134,P_DIS!$B$32:$Q$263,16)</f>
        <v>-</v>
      </c>
      <c r="I134" s="115" t="str">
        <f t="shared" si="40"/>
        <v/>
      </c>
      <c r="J134" s="116" t="str">
        <f t="shared" si="41"/>
        <v/>
      </c>
      <c r="K134" s="117" t="str">
        <f t="shared" si="42"/>
        <v/>
      </c>
      <c r="L134" s="118" t="str">
        <f t="shared" si="43"/>
        <v/>
      </c>
      <c r="M134" s="118" t="str">
        <f t="shared" si="44"/>
        <v/>
      </c>
      <c r="N134" s="118" t="str">
        <f t="shared" si="45"/>
        <v/>
      </c>
      <c r="O134" s="118" t="str">
        <f t="shared" si="46"/>
        <v/>
      </c>
      <c r="P134" s="118" t="str">
        <f t="shared" si="47"/>
        <v/>
      </c>
      <c r="Q134" s="118" t="str">
        <f t="shared" si="48"/>
        <v/>
      </c>
      <c r="R134" s="118" t="str">
        <f t="shared" si="49"/>
        <v/>
      </c>
      <c r="S134" s="118" t="str">
        <f t="shared" si="50"/>
        <v/>
      </c>
      <c r="T134" s="119" t="str">
        <f t="shared" si="33"/>
        <v/>
      </c>
      <c r="U134" s="119" t="str">
        <f t="shared" si="34"/>
        <v/>
      </c>
      <c r="V134" s="120" t="str">
        <f t="shared" si="35"/>
        <v/>
      </c>
      <c r="W134" s="120" t="str">
        <f t="shared" si="36"/>
        <v/>
      </c>
      <c r="X134" s="120" t="str">
        <f t="shared" si="37"/>
        <v/>
      </c>
      <c r="Y134" s="121" t="str">
        <f t="shared" si="38"/>
        <v/>
      </c>
      <c r="Z134" s="121" t="str">
        <f t="shared" si="39"/>
        <v/>
      </c>
      <c r="AA134" s="122">
        <v>1</v>
      </c>
      <c r="AB134" s="123">
        <v>1</v>
      </c>
      <c r="AC134" s="123" t="str">
        <f t="shared" si="51"/>
        <v/>
      </c>
      <c r="AD134" s="123" t="str">
        <f t="shared" si="52"/>
        <v/>
      </c>
      <c r="AE134" s="123" t="str">
        <f t="shared" si="53"/>
        <v/>
      </c>
      <c r="AF134" s="123" t="str">
        <f t="shared" si="54"/>
        <v/>
      </c>
      <c r="AG134" s="123" t="str">
        <f t="shared" si="55"/>
        <v/>
      </c>
      <c r="AH134" s="115" t="str">
        <f t="shared" si="56"/>
        <v/>
      </c>
      <c r="AI134" s="115" t="str">
        <f t="shared" si="57"/>
        <v/>
      </c>
      <c r="AJ134" s="115" t="str">
        <f t="shared" si="58"/>
        <v/>
      </c>
      <c r="AK134" s="115" t="str">
        <f t="shared" si="59"/>
        <v/>
      </c>
      <c r="AL134" s="115" t="str">
        <f t="shared" si="60"/>
        <v/>
      </c>
      <c r="AM134" s="115" t="str">
        <f t="shared" si="61"/>
        <v/>
      </c>
      <c r="AN134" s="115" t="str">
        <f t="shared" si="62"/>
        <v/>
      </c>
      <c r="AO134" s="3"/>
      <c r="AP134" s="3"/>
      <c r="AQ134" s="3"/>
      <c r="AR134" s="3"/>
      <c r="AS134" s="3"/>
      <c r="AT134" s="3"/>
      <c r="AU134" s="3"/>
      <c r="AZ134" s="1"/>
      <c r="BA134" s="1"/>
      <c r="BB134" s="1"/>
      <c r="BC134" s="1"/>
      <c r="BD134" s="1"/>
      <c r="BE134" s="1"/>
      <c r="BF134" s="1"/>
    </row>
    <row r="135" spans="1:58">
      <c r="A135" s="109">
        <v>11</v>
      </c>
      <c r="B135" s="114" t="str">
        <f>VLOOKUP(A135,P_DIS!$B$32:$Q$263,12)</f>
        <v>-</v>
      </c>
      <c r="C135" s="114" t="str">
        <f>VLOOKUP(A135,P_DIS!$B$32:$Q$263,13)</f>
        <v>-</v>
      </c>
      <c r="D135" s="114" t="str">
        <f>VLOOKUP(A135,P_DIS!$B$32:$Q$263,15)</f>
        <v>-</v>
      </c>
      <c r="E135" s="114" t="str">
        <f>VLOOKUP(A135,P_DIS!$B$32:$Q$263,14)</f>
        <v>-</v>
      </c>
      <c r="F135" s="114">
        <f>VLOOKUP(A135,P_DIS!$B$32:$Q$263,10)</f>
        <v>0</v>
      </c>
      <c r="G135" s="114" t="str">
        <f>VLOOKUP(A135,P_DIS!$B$32:$Q$263,11)</f>
        <v>-</v>
      </c>
      <c r="H135" s="114" t="str">
        <f>VLOOKUP(A135,P_DIS!$B$32:$Q$263,16)</f>
        <v>-</v>
      </c>
      <c r="I135" s="115" t="str">
        <f t="shared" si="40"/>
        <v/>
      </c>
      <c r="J135" s="116" t="str">
        <f t="shared" si="41"/>
        <v/>
      </c>
      <c r="K135" s="117" t="str">
        <f t="shared" si="42"/>
        <v/>
      </c>
      <c r="L135" s="118" t="str">
        <f t="shared" si="43"/>
        <v/>
      </c>
      <c r="M135" s="118" t="str">
        <f t="shared" si="44"/>
        <v/>
      </c>
      <c r="N135" s="118" t="str">
        <f t="shared" si="45"/>
        <v/>
      </c>
      <c r="O135" s="118" t="str">
        <f t="shared" si="46"/>
        <v/>
      </c>
      <c r="P135" s="118" t="str">
        <f t="shared" si="47"/>
        <v/>
      </c>
      <c r="Q135" s="118" t="str">
        <f t="shared" si="48"/>
        <v/>
      </c>
      <c r="R135" s="118" t="str">
        <f t="shared" si="49"/>
        <v/>
      </c>
      <c r="S135" s="118" t="str">
        <f t="shared" si="50"/>
        <v/>
      </c>
      <c r="T135" s="119" t="str">
        <f t="shared" si="33"/>
        <v/>
      </c>
      <c r="U135" s="119" t="str">
        <f t="shared" si="34"/>
        <v/>
      </c>
      <c r="V135" s="120" t="str">
        <f t="shared" si="35"/>
        <v/>
      </c>
      <c r="W135" s="120" t="str">
        <f t="shared" si="36"/>
        <v/>
      </c>
      <c r="X135" s="120" t="str">
        <f t="shared" si="37"/>
        <v/>
      </c>
      <c r="Y135" s="121" t="str">
        <f t="shared" si="38"/>
        <v/>
      </c>
      <c r="Z135" s="121" t="str">
        <f t="shared" si="39"/>
        <v/>
      </c>
      <c r="AA135" s="122">
        <v>1</v>
      </c>
      <c r="AB135" s="123">
        <v>1</v>
      </c>
      <c r="AC135" s="123" t="str">
        <f t="shared" si="51"/>
        <v/>
      </c>
      <c r="AD135" s="123" t="str">
        <f t="shared" si="52"/>
        <v/>
      </c>
      <c r="AE135" s="123" t="str">
        <f t="shared" si="53"/>
        <v/>
      </c>
      <c r="AF135" s="123" t="str">
        <f t="shared" si="54"/>
        <v/>
      </c>
      <c r="AG135" s="123" t="str">
        <f t="shared" si="55"/>
        <v/>
      </c>
      <c r="AH135" s="115" t="str">
        <f t="shared" si="56"/>
        <v/>
      </c>
      <c r="AI135" s="115" t="str">
        <f t="shared" si="57"/>
        <v/>
      </c>
      <c r="AJ135" s="115" t="str">
        <f t="shared" si="58"/>
        <v/>
      </c>
      <c r="AK135" s="115" t="str">
        <f t="shared" si="59"/>
        <v/>
      </c>
      <c r="AL135" s="115" t="str">
        <f t="shared" si="60"/>
        <v/>
      </c>
      <c r="AM135" s="115" t="str">
        <f t="shared" si="61"/>
        <v/>
      </c>
      <c r="AN135" s="115" t="str">
        <f t="shared" si="62"/>
        <v/>
      </c>
      <c r="AO135" s="3"/>
      <c r="AP135" s="3"/>
      <c r="AQ135" s="3"/>
      <c r="AR135" s="3"/>
      <c r="AS135" s="3"/>
      <c r="AT135" s="3"/>
      <c r="AU135" s="3"/>
      <c r="AZ135" s="1"/>
      <c r="BA135" s="1"/>
      <c r="BB135" s="1"/>
      <c r="BC135" s="1"/>
      <c r="BD135" s="1"/>
      <c r="BE135" s="1"/>
      <c r="BF135" s="1"/>
    </row>
    <row r="136" spans="1:58">
      <c r="A136" s="109">
        <v>12</v>
      </c>
      <c r="B136" s="114" t="str">
        <f>VLOOKUP(A136,P_DIS!$B$32:$Q$263,12)</f>
        <v>-</v>
      </c>
      <c r="C136" s="114" t="str">
        <f>VLOOKUP(A136,P_DIS!$B$32:$Q$263,13)</f>
        <v>-</v>
      </c>
      <c r="D136" s="114" t="str">
        <f>VLOOKUP(A136,P_DIS!$B$32:$Q$263,15)</f>
        <v>-</v>
      </c>
      <c r="E136" s="114" t="str">
        <f>VLOOKUP(A136,P_DIS!$B$32:$Q$263,14)</f>
        <v>-</v>
      </c>
      <c r="F136" s="114">
        <f>VLOOKUP(A136,P_DIS!$B$32:$Q$263,10)</f>
        <v>0</v>
      </c>
      <c r="G136" s="114" t="str">
        <f>VLOOKUP(A136,P_DIS!$B$32:$Q$263,11)</f>
        <v>-</v>
      </c>
      <c r="H136" s="114" t="str">
        <f>VLOOKUP(A136,P_DIS!$B$32:$Q$263,16)</f>
        <v>-</v>
      </c>
      <c r="I136" s="115" t="str">
        <f t="shared" si="40"/>
        <v/>
      </c>
      <c r="J136" s="116" t="str">
        <f t="shared" si="41"/>
        <v/>
      </c>
      <c r="K136" s="117" t="str">
        <f t="shared" si="42"/>
        <v/>
      </c>
      <c r="L136" s="118" t="str">
        <f t="shared" si="43"/>
        <v/>
      </c>
      <c r="M136" s="118" t="str">
        <f t="shared" si="44"/>
        <v/>
      </c>
      <c r="N136" s="118" t="str">
        <f t="shared" si="45"/>
        <v/>
      </c>
      <c r="O136" s="118" t="str">
        <f t="shared" si="46"/>
        <v/>
      </c>
      <c r="P136" s="118" t="str">
        <f t="shared" si="47"/>
        <v/>
      </c>
      <c r="Q136" s="118" t="str">
        <f t="shared" si="48"/>
        <v/>
      </c>
      <c r="R136" s="118" t="str">
        <f t="shared" si="49"/>
        <v/>
      </c>
      <c r="S136" s="118" t="str">
        <f t="shared" si="50"/>
        <v/>
      </c>
      <c r="T136" s="119" t="str">
        <f t="shared" si="33"/>
        <v/>
      </c>
      <c r="U136" s="119" t="str">
        <f t="shared" si="34"/>
        <v/>
      </c>
      <c r="V136" s="120" t="str">
        <f t="shared" si="35"/>
        <v/>
      </c>
      <c r="W136" s="120" t="str">
        <f t="shared" si="36"/>
        <v/>
      </c>
      <c r="X136" s="120" t="str">
        <f t="shared" si="37"/>
        <v/>
      </c>
      <c r="Y136" s="121" t="str">
        <f t="shared" si="38"/>
        <v/>
      </c>
      <c r="Z136" s="121" t="str">
        <f t="shared" si="39"/>
        <v/>
      </c>
      <c r="AA136" s="122">
        <v>1</v>
      </c>
      <c r="AB136" s="123">
        <v>1</v>
      </c>
      <c r="AC136" s="123" t="str">
        <f t="shared" si="51"/>
        <v/>
      </c>
      <c r="AD136" s="123" t="str">
        <f t="shared" si="52"/>
        <v/>
      </c>
      <c r="AE136" s="123" t="str">
        <f t="shared" si="53"/>
        <v/>
      </c>
      <c r="AF136" s="123" t="str">
        <f t="shared" si="54"/>
        <v/>
      </c>
      <c r="AG136" s="123" t="str">
        <f t="shared" si="55"/>
        <v/>
      </c>
      <c r="AH136" s="115" t="str">
        <f t="shared" si="56"/>
        <v/>
      </c>
      <c r="AI136" s="115" t="str">
        <f t="shared" si="57"/>
        <v/>
      </c>
      <c r="AJ136" s="115" t="str">
        <f t="shared" si="58"/>
        <v/>
      </c>
      <c r="AK136" s="115" t="str">
        <f t="shared" si="59"/>
        <v/>
      </c>
      <c r="AL136" s="115" t="str">
        <f t="shared" si="60"/>
        <v/>
      </c>
      <c r="AM136" s="115" t="str">
        <f t="shared" si="61"/>
        <v/>
      </c>
      <c r="AN136" s="115" t="str">
        <f t="shared" si="62"/>
        <v/>
      </c>
      <c r="AO136" s="3"/>
      <c r="AP136" s="3"/>
      <c r="AQ136" s="3"/>
      <c r="AR136" s="3"/>
      <c r="AS136" s="3"/>
      <c r="AT136" s="3"/>
      <c r="AU136" s="3"/>
      <c r="AZ136" s="1"/>
      <c r="BA136" s="1"/>
      <c r="BB136" s="1"/>
      <c r="BC136" s="1"/>
      <c r="BD136" s="1"/>
      <c r="BE136" s="1"/>
      <c r="BF136" s="1"/>
    </row>
    <row r="137" spans="1:58">
      <c r="A137" s="109">
        <v>13</v>
      </c>
      <c r="B137" s="114" t="str">
        <f>VLOOKUP(A137,P_DIS!$B$32:$Q$263,12)</f>
        <v>-</v>
      </c>
      <c r="C137" s="114" t="str">
        <f>VLOOKUP(A137,P_DIS!$B$32:$Q$263,13)</f>
        <v>-</v>
      </c>
      <c r="D137" s="114" t="str">
        <f>VLOOKUP(A137,P_DIS!$B$32:$Q$263,15)</f>
        <v>-</v>
      </c>
      <c r="E137" s="114" t="str">
        <f>VLOOKUP(A137,P_DIS!$B$32:$Q$263,14)</f>
        <v>-</v>
      </c>
      <c r="F137" s="114">
        <f>VLOOKUP(A137,P_DIS!$B$32:$Q$263,10)</f>
        <v>0</v>
      </c>
      <c r="G137" s="114" t="str">
        <f>VLOOKUP(A137,P_DIS!$B$32:$Q$263,11)</f>
        <v>-</v>
      </c>
      <c r="H137" s="114" t="str">
        <f>VLOOKUP(A137,P_DIS!$B$32:$Q$263,16)</f>
        <v>-</v>
      </c>
      <c r="I137" s="115" t="str">
        <f t="shared" si="40"/>
        <v/>
      </c>
      <c r="J137" s="116" t="str">
        <f t="shared" si="41"/>
        <v/>
      </c>
      <c r="K137" s="117" t="str">
        <f t="shared" si="42"/>
        <v/>
      </c>
      <c r="L137" s="118" t="str">
        <f t="shared" si="43"/>
        <v/>
      </c>
      <c r="M137" s="118" t="str">
        <f t="shared" si="44"/>
        <v/>
      </c>
      <c r="N137" s="118" t="str">
        <f t="shared" si="45"/>
        <v/>
      </c>
      <c r="O137" s="118" t="str">
        <f t="shared" si="46"/>
        <v/>
      </c>
      <c r="P137" s="118" t="str">
        <f t="shared" si="47"/>
        <v/>
      </c>
      <c r="Q137" s="118" t="str">
        <f t="shared" si="48"/>
        <v/>
      </c>
      <c r="R137" s="118" t="str">
        <f t="shared" si="49"/>
        <v/>
      </c>
      <c r="S137" s="118" t="str">
        <f t="shared" si="50"/>
        <v/>
      </c>
      <c r="T137" s="119" t="str">
        <f t="shared" si="33"/>
        <v/>
      </c>
      <c r="U137" s="119" t="str">
        <f t="shared" si="34"/>
        <v/>
      </c>
      <c r="V137" s="120" t="str">
        <f t="shared" si="35"/>
        <v/>
      </c>
      <c r="W137" s="120" t="str">
        <f t="shared" si="36"/>
        <v/>
      </c>
      <c r="X137" s="120" t="str">
        <f t="shared" si="37"/>
        <v/>
      </c>
      <c r="Y137" s="121" t="str">
        <f t="shared" si="38"/>
        <v/>
      </c>
      <c r="Z137" s="121" t="str">
        <f t="shared" si="39"/>
        <v/>
      </c>
      <c r="AA137" s="122">
        <v>1</v>
      </c>
      <c r="AB137" s="123">
        <v>1</v>
      </c>
      <c r="AC137" s="123" t="str">
        <f t="shared" si="51"/>
        <v/>
      </c>
      <c r="AD137" s="123" t="str">
        <f t="shared" si="52"/>
        <v/>
      </c>
      <c r="AE137" s="123" t="str">
        <f t="shared" si="53"/>
        <v/>
      </c>
      <c r="AF137" s="123" t="str">
        <f t="shared" si="54"/>
        <v/>
      </c>
      <c r="AG137" s="123" t="str">
        <f t="shared" si="55"/>
        <v/>
      </c>
      <c r="AH137" s="115" t="str">
        <f t="shared" si="56"/>
        <v/>
      </c>
      <c r="AI137" s="115" t="str">
        <f t="shared" si="57"/>
        <v/>
      </c>
      <c r="AJ137" s="115" t="str">
        <f t="shared" si="58"/>
        <v/>
      </c>
      <c r="AK137" s="115" t="str">
        <f t="shared" si="59"/>
        <v/>
      </c>
      <c r="AL137" s="115" t="str">
        <f t="shared" si="60"/>
        <v/>
      </c>
      <c r="AM137" s="115" t="str">
        <f t="shared" si="61"/>
        <v/>
      </c>
      <c r="AN137" s="115" t="str">
        <f t="shared" si="62"/>
        <v/>
      </c>
      <c r="AO137" s="3"/>
      <c r="AP137" s="3"/>
      <c r="AQ137" s="3"/>
      <c r="AR137" s="3"/>
      <c r="AS137" s="3"/>
      <c r="AT137" s="3"/>
      <c r="AU137" s="3"/>
      <c r="AZ137" s="1"/>
      <c r="BA137" s="1"/>
      <c r="BB137" s="1"/>
      <c r="BC137" s="1"/>
      <c r="BD137" s="1"/>
      <c r="BE137" s="1"/>
      <c r="BF137" s="1"/>
    </row>
    <row r="138" spans="1:58">
      <c r="A138" s="109">
        <v>14</v>
      </c>
      <c r="B138" s="114" t="str">
        <f>VLOOKUP(A138,P_DIS!$B$32:$Q$263,12)</f>
        <v>-</v>
      </c>
      <c r="C138" s="114" t="str">
        <f>VLOOKUP(A138,P_DIS!$B$32:$Q$263,13)</f>
        <v>-</v>
      </c>
      <c r="D138" s="114" t="str">
        <f>VLOOKUP(A138,P_DIS!$B$32:$Q$263,15)</f>
        <v>-</v>
      </c>
      <c r="E138" s="114" t="str">
        <f>VLOOKUP(A138,P_DIS!$B$32:$Q$263,14)</f>
        <v>-</v>
      </c>
      <c r="F138" s="114">
        <f>VLOOKUP(A138,P_DIS!$B$32:$Q$263,10)</f>
        <v>0</v>
      </c>
      <c r="G138" s="114" t="str">
        <f>VLOOKUP(A138,P_DIS!$B$32:$Q$263,11)</f>
        <v>-</v>
      </c>
      <c r="H138" s="114" t="str">
        <f>VLOOKUP(A138,P_DIS!$B$32:$Q$263,16)</f>
        <v>-</v>
      </c>
      <c r="I138" s="115" t="str">
        <f t="shared" si="40"/>
        <v/>
      </c>
      <c r="J138" s="116" t="str">
        <f t="shared" si="41"/>
        <v/>
      </c>
      <c r="K138" s="117" t="str">
        <f t="shared" si="42"/>
        <v/>
      </c>
      <c r="L138" s="118" t="str">
        <f t="shared" si="43"/>
        <v/>
      </c>
      <c r="M138" s="118" t="str">
        <f t="shared" si="44"/>
        <v/>
      </c>
      <c r="N138" s="118" t="str">
        <f t="shared" si="45"/>
        <v/>
      </c>
      <c r="O138" s="118" t="str">
        <f t="shared" si="46"/>
        <v/>
      </c>
      <c r="P138" s="118" t="str">
        <f t="shared" si="47"/>
        <v/>
      </c>
      <c r="Q138" s="118" t="str">
        <f t="shared" si="48"/>
        <v/>
      </c>
      <c r="R138" s="118" t="str">
        <f t="shared" si="49"/>
        <v/>
      </c>
      <c r="S138" s="118" t="str">
        <f t="shared" si="50"/>
        <v/>
      </c>
      <c r="T138" s="119" t="str">
        <f t="shared" si="33"/>
        <v/>
      </c>
      <c r="U138" s="119" t="str">
        <f t="shared" si="34"/>
        <v/>
      </c>
      <c r="V138" s="120" t="str">
        <f t="shared" si="35"/>
        <v/>
      </c>
      <c r="W138" s="120" t="str">
        <f t="shared" si="36"/>
        <v/>
      </c>
      <c r="X138" s="120" t="str">
        <f t="shared" si="37"/>
        <v/>
      </c>
      <c r="Y138" s="121" t="str">
        <f t="shared" si="38"/>
        <v/>
      </c>
      <c r="Z138" s="121" t="str">
        <f t="shared" si="39"/>
        <v/>
      </c>
      <c r="AA138" s="122">
        <v>1</v>
      </c>
      <c r="AB138" s="123">
        <v>1</v>
      </c>
      <c r="AC138" s="123" t="str">
        <f t="shared" si="51"/>
        <v/>
      </c>
      <c r="AD138" s="123" t="str">
        <f t="shared" si="52"/>
        <v/>
      </c>
      <c r="AE138" s="123" t="str">
        <f t="shared" si="53"/>
        <v/>
      </c>
      <c r="AF138" s="123" t="str">
        <f t="shared" si="54"/>
        <v/>
      </c>
      <c r="AG138" s="123" t="str">
        <f t="shared" si="55"/>
        <v/>
      </c>
      <c r="AH138" s="115" t="str">
        <f t="shared" si="56"/>
        <v/>
      </c>
      <c r="AI138" s="115" t="str">
        <f t="shared" si="57"/>
        <v/>
      </c>
      <c r="AJ138" s="115" t="str">
        <f t="shared" si="58"/>
        <v/>
      </c>
      <c r="AK138" s="115" t="str">
        <f t="shared" si="59"/>
        <v/>
      </c>
      <c r="AL138" s="115" t="str">
        <f t="shared" si="60"/>
        <v/>
      </c>
      <c r="AM138" s="115" t="str">
        <f t="shared" si="61"/>
        <v/>
      </c>
      <c r="AN138" s="115" t="str">
        <f t="shared" si="62"/>
        <v/>
      </c>
      <c r="AO138" s="3"/>
      <c r="AP138" s="3"/>
      <c r="AQ138" s="3"/>
      <c r="AR138" s="3"/>
      <c r="AS138" s="3"/>
      <c r="AT138" s="3"/>
      <c r="AU138" s="3"/>
      <c r="AZ138" s="1"/>
      <c r="BA138" s="1"/>
      <c r="BB138" s="1"/>
      <c r="BC138" s="1"/>
      <c r="BD138" s="1"/>
      <c r="BE138" s="1"/>
      <c r="BF138" s="1"/>
    </row>
    <row r="139" spans="1:58">
      <c r="A139" s="109">
        <v>15</v>
      </c>
      <c r="B139" s="114" t="str">
        <f>VLOOKUP(A139,P_DIS!$B$32:$Q$263,12)</f>
        <v>-</v>
      </c>
      <c r="C139" s="114" t="str">
        <f>VLOOKUP(A139,P_DIS!$B$32:$Q$263,13)</f>
        <v>-</v>
      </c>
      <c r="D139" s="114" t="str">
        <f>VLOOKUP(A139,P_DIS!$B$32:$Q$263,15)</f>
        <v>-</v>
      </c>
      <c r="E139" s="114" t="str">
        <f>VLOOKUP(A139,P_DIS!$B$32:$Q$263,14)</f>
        <v>-</v>
      </c>
      <c r="F139" s="114">
        <f>VLOOKUP(A139,P_DIS!$B$32:$Q$263,10)</f>
        <v>0</v>
      </c>
      <c r="G139" s="114" t="str">
        <f>VLOOKUP(A139,P_DIS!$B$32:$Q$263,11)</f>
        <v>-</v>
      </c>
      <c r="H139" s="114" t="str">
        <f>VLOOKUP(A139,P_DIS!$B$32:$Q$263,16)</f>
        <v>-</v>
      </c>
      <c r="I139" s="115" t="str">
        <f t="shared" si="40"/>
        <v/>
      </c>
      <c r="J139" s="116" t="str">
        <f t="shared" si="41"/>
        <v/>
      </c>
      <c r="K139" s="117" t="str">
        <f t="shared" si="42"/>
        <v/>
      </c>
      <c r="L139" s="118" t="str">
        <f t="shared" si="43"/>
        <v/>
      </c>
      <c r="M139" s="118" t="str">
        <f t="shared" si="44"/>
        <v/>
      </c>
      <c r="N139" s="118" t="str">
        <f t="shared" si="45"/>
        <v/>
      </c>
      <c r="O139" s="118" t="str">
        <f t="shared" si="46"/>
        <v/>
      </c>
      <c r="P139" s="118" t="str">
        <f t="shared" si="47"/>
        <v/>
      </c>
      <c r="Q139" s="118" t="str">
        <f t="shared" si="48"/>
        <v/>
      </c>
      <c r="R139" s="118" t="str">
        <f t="shared" si="49"/>
        <v/>
      </c>
      <c r="S139" s="118" t="str">
        <f t="shared" si="50"/>
        <v/>
      </c>
      <c r="T139" s="119" t="str">
        <f t="shared" si="33"/>
        <v/>
      </c>
      <c r="U139" s="119" t="str">
        <f t="shared" si="34"/>
        <v/>
      </c>
      <c r="V139" s="120" t="str">
        <f t="shared" si="35"/>
        <v/>
      </c>
      <c r="W139" s="120" t="str">
        <f t="shared" si="36"/>
        <v/>
      </c>
      <c r="X139" s="120" t="str">
        <f t="shared" si="37"/>
        <v/>
      </c>
      <c r="Y139" s="121" t="str">
        <f t="shared" si="38"/>
        <v/>
      </c>
      <c r="Z139" s="121" t="str">
        <f t="shared" si="39"/>
        <v/>
      </c>
      <c r="AA139" s="122">
        <v>1</v>
      </c>
      <c r="AB139" s="123">
        <v>1</v>
      </c>
      <c r="AC139" s="123" t="str">
        <f t="shared" si="51"/>
        <v/>
      </c>
      <c r="AD139" s="123" t="str">
        <f t="shared" si="52"/>
        <v/>
      </c>
      <c r="AE139" s="123" t="str">
        <f t="shared" si="53"/>
        <v/>
      </c>
      <c r="AF139" s="123" t="str">
        <f t="shared" si="54"/>
        <v/>
      </c>
      <c r="AG139" s="123" t="str">
        <f t="shared" si="55"/>
        <v/>
      </c>
      <c r="AH139" s="115" t="str">
        <f t="shared" si="56"/>
        <v/>
      </c>
      <c r="AI139" s="115" t="str">
        <f t="shared" si="57"/>
        <v/>
      </c>
      <c r="AJ139" s="115" t="str">
        <f t="shared" si="58"/>
        <v/>
      </c>
      <c r="AK139" s="115" t="str">
        <f t="shared" si="59"/>
        <v/>
      </c>
      <c r="AL139" s="115" t="str">
        <f t="shared" si="60"/>
        <v/>
      </c>
      <c r="AM139" s="115" t="str">
        <f t="shared" si="61"/>
        <v/>
      </c>
      <c r="AN139" s="115" t="str">
        <f t="shared" si="62"/>
        <v/>
      </c>
      <c r="AO139" s="3"/>
      <c r="AP139" s="3"/>
      <c r="AQ139" s="3"/>
      <c r="AR139" s="3"/>
      <c r="AS139" s="3"/>
      <c r="AT139" s="3"/>
      <c r="AU139" s="3"/>
      <c r="AZ139" s="1"/>
      <c r="BA139" s="1"/>
      <c r="BB139" s="1"/>
      <c r="BC139" s="1"/>
      <c r="BD139" s="1"/>
      <c r="BE139" s="1"/>
      <c r="BF139" s="1"/>
    </row>
    <row r="140" spans="1:58">
      <c r="A140" s="109">
        <v>16</v>
      </c>
      <c r="B140" s="114" t="str">
        <f>VLOOKUP(A140,P_DIS!$B$32:$Q$263,12)</f>
        <v>-</v>
      </c>
      <c r="C140" s="114" t="str">
        <f>VLOOKUP(A140,P_DIS!$B$32:$Q$263,13)</f>
        <v>-</v>
      </c>
      <c r="D140" s="114" t="str">
        <f>VLOOKUP(A140,P_DIS!$B$32:$Q$263,15)</f>
        <v>-</v>
      </c>
      <c r="E140" s="114" t="str">
        <f>VLOOKUP(A140,P_DIS!$B$32:$Q$263,14)</f>
        <v>-</v>
      </c>
      <c r="F140" s="114">
        <f>VLOOKUP(A140,P_DIS!$B$32:$Q$263,10)</f>
        <v>0</v>
      </c>
      <c r="G140" s="114" t="str">
        <f>VLOOKUP(A140,P_DIS!$B$32:$Q$263,11)</f>
        <v>-</v>
      </c>
      <c r="H140" s="114" t="str">
        <f>VLOOKUP(A140,P_DIS!$B$32:$Q$263,16)</f>
        <v>-</v>
      </c>
      <c r="I140" s="115" t="str">
        <f t="shared" si="40"/>
        <v/>
      </c>
      <c r="J140" s="116" t="str">
        <f t="shared" si="41"/>
        <v/>
      </c>
      <c r="K140" s="117" t="str">
        <f t="shared" si="42"/>
        <v/>
      </c>
      <c r="L140" s="118" t="str">
        <f t="shared" si="43"/>
        <v/>
      </c>
      <c r="M140" s="118" t="str">
        <f t="shared" si="44"/>
        <v/>
      </c>
      <c r="N140" s="118" t="str">
        <f t="shared" si="45"/>
        <v/>
      </c>
      <c r="O140" s="118" t="str">
        <f t="shared" si="46"/>
        <v/>
      </c>
      <c r="P140" s="118" t="str">
        <f t="shared" si="47"/>
        <v/>
      </c>
      <c r="Q140" s="118" t="str">
        <f t="shared" si="48"/>
        <v/>
      </c>
      <c r="R140" s="118" t="str">
        <f t="shared" si="49"/>
        <v/>
      </c>
      <c r="S140" s="118" t="str">
        <f t="shared" si="50"/>
        <v/>
      </c>
      <c r="T140" s="119" t="str">
        <f t="shared" si="33"/>
        <v/>
      </c>
      <c r="U140" s="119" t="str">
        <f t="shared" si="34"/>
        <v/>
      </c>
      <c r="V140" s="120" t="str">
        <f t="shared" si="35"/>
        <v/>
      </c>
      <c r="W140" s="120" t="str">
        <f t="shared" si="36"/>
        <v/>
      </c>
      <c r="X140" s="120" t="str">
        <f t="shared" si="37"/>
        <v/>
      </c>
      <c r="Y140" s="121" t="str">
        <f t="shared" si="38"/>
        <v/>
      </c>
      <c r="Z140" s="121" t="str">
        <f t="shared" si="39"/>
        <v/>
      </c>
      <c r="AA140" s="122">
        <v>1</v>
      </c>
      <c r="AB140" s="123">
        <v>1</v>
      </c>
      <c r="AC140" s="123" t="str">
        <f t="shared" si="51"/>
        <v/>
      </c>
      <c r="AD140" s="123" t="str">
        <f t="shared" si="52"/>
        <v/>
      </c>
      <c r="AE140" s="123" t="str">
        <f t="shared" si="53"/>
        <v/>
      </c>
      <c r="AF140" s="123" t="str">
        <f t="shared" si="54"/>
        <v/>
      </c>
      <c r="AG140" s="123" t="str">
        <f t="shared" si="55"/>
        <v/>
      </c>
      <c r="AH140" s="115" t="str">
        <f t="shared" si="56"/>
        <v/>
      </c>
      <c r="AI140" s="115" t="str">
        <f t="shared" si="57"/>
        <v/>
      </c>
      <c r="AJ140" s="115" t="str">
        <f t="shared" si="58"/>
        <v/>
      </c>
      <c r="AK140" s="115" t="str">
        <f t="shared" si="59"/>
        <v/>
      </c>
      <c r="AL140" s="115" t="str">
        <f t="shared" si="60"/>
        <v/>
      </c>
      <c r="AM140" s="115" t="str">
        <f t="shared" si="61"/>
        <v/>
      </c>
      <c r="AN140" s="115" t="str">
        <f t="shared" si="62"/>
        <v/>
      </c>
      <c r="AO140" s="3"/>
      <c r="AP140" s="3"/>
      <c r="AQ140" s="3"/>
      <c r="AR140" s="3"/>
      <c r="AS140" s="3"/>
      <c r="AT140" s="3"/>
      <c r="AU140" s="3"/>
      <c r="AZ140" s="1"/>
      <c r="BA140" s="1"/>
      <c r="BB140" s="1"/>
      <c r="BC140" s="1"/>
      <c r="BD140" s="1"/>
      <c r="BE140" s="1"/>
      <c r="BF140" s="1"/>
    </row>
    <row r="141" spans="1:58">
      <c r="A141" s="109">
        <v>17</v>
      </c>
      <c r="B141" s="114" t="str">
        <f>VLOOKUP(A141,P_DIS!$B$32:$Q$263,12)</f>
        <v>-</v>
      </c>
      <c r="C141" s="114" t="str">
        <f>VLOOKUP(A141,P_DIS!$B$32:$Q$263,13)</f>
        <v>-</v>
      </c>
      <c r="D141" s="114" t="str">
        <f>VLOOKUP(A141,P_DIS!$B$32:$Q$263,15)</f>
        <v>-</v>
      </c>
      <c r="E141" s="114" t="str">
        <f>VLOOKUP(A141,P_DIS!$B$32:$Q$263,14)</f>
        <v>-</v>
      </c>
      <c r="F141" s="114">
        <f>VLOOKUP(A141,P_DIS!$B$32:$Q$263,10)</f>
        <v>0</v>
      </c>
      <c r="G141" s="114" t="str">
        <f>VLOOKUP(A141,P_DIS!$B$32:$Q$263,11)</f>
        <v>-</v>
      </c>
      <c r="H141" s="114" t="str">
        <f>VLOOKUP(A141,P_DIS!$B$32:$Q$263,16)</f>
        <v>-</v>
      </c>
      <c r="I141" s="115" t="str">
        <f t="shared" si="40"/>
        <v/>
      </c>
      <c r="J141" s="116" t="str">
        <f t="shared" si="41"/>
        <v/>
      </c>
      <c r="K141" s="117" t="str">
        <f t="shared" si="42"/>
        <v/>
      </c>
      <c r="L141" s="118" t="str">
        <f t="shared" si="43"/>
        <v/>
      </c>
      <c r="M141" s="118" t="str">
        <f t="shared" si="44"/>
        <v/>
      </c>
      <c r="N141" s="118" t="str">
        <f t="shared" si="45"/>
        <v/>
      </c>
      <c r="O141" s="118" t="str">
        <f t="shared" si="46"/>
        <v/>
      </c>
      <c r="P141" s="118" t="str">
        <f t="shared" si="47"/>
        <v/>
      </c>
      <c r="Q141" s="118" t="str">
        <f t="shared" si="48"/>
        <v/>
      </c>
      <c r="R141" s="118" t="str">
        <f t="shared" si="49"/>
        <v/>
      </c>
      <c r="S141" s="118" t="str">
        <f t="shared" si="50"/>
        <v/>
      </c>
      <c r="T141" s="119" t="str">
        <f t="shared" si="33"/>
        <v/>
      </c>
      <c r="U141" s="119" t="str">
        <f t="shared" si="34"/>
        <v/>
      </c>
      <c r="V141" s="120" t="str">
        <f t="shared" si="35"/>
        <v/>
      </c>
      <c r="W141" s="120" t="str">
        <f t="shared" si="36"/>
        <v/>
      </c>
      <c r="X141" s="120" t="str">
        <f t="shared" si="37"/>
        <v/>
      </c>
      <c r="Y141" s="121" t="str">
        <f t="shared" si="38"/>
        <v/>
      </c>
      <c r="Z141" s="121" t="str">
        <f t="shared" si="39"/>
        <v/>
      </c>
      <c r="AA141" s="122">
        <v>1</v>
      </c>
      <c r="AB141" s="123">
        <v>1</v>
      </c>
      <c r="AC141" s="123" t="str">
        <f t="shared" si="51"/>
        <v/>
      </c>
      <c r="AD141" s="123" t="str">
        <f t="shared" si="52"/>
        <v/>
      </c>
      <c r="AE141" s="123" t="str">
        <f t="shared" si="53"/>
        <v/>
      </c>
      <c r="AF141" s="123" t="str">
        <f t="shared" si="54"/>
        <v/>
      </c>
      <c r="AG141" s="123" t="str">
        <f t="shared" si="55"/>
        <v/>
      </c>
      <c r="AH141" s="115" t="str">
        <f t="shared" si="56"/>
        <v/>
      </c>
      <c r="AI141" s="115" t="str">
        <f t="shared" si="57"/>
        <v/>
      </c>
      <c r="AJ141" s="115" t="str">
        <f t="shared" si="58"/>
        <v/>
      </c>
      <c r="AK141" s="115" t="str">
        <f t="shared" si="59"/>
        <v/>
      </c>
      <c r="AL141" s="115" t="str">
        <f t="shared" si="60"/>
        <v/>
      </c>
      <c r="AM141" s="115" t="str">
        <f t="shared" si="61"/>
        <v/>
      </c>
      <c r="AN141" s="115" t="str">
        <f t="shared" si="62"/>
        <v/>
      </c>
      <c r="AO141" s="3"/>
      <c r="AP141" s="3"/>
      <c r="AQ141" s="3"/>
      <c r="AR141" s="3"/>
      <c r="AS141" s="3"/>
      <c r="AT141" s="3"/>
      <c r="AU141" s="3"/>
      <c r="AZ141" s="1"/>
      <c r="BA141" s="1"/>
      <c r="BB141" s="1"/>
      <c r="BC141" s="1"/>
      <c r="BD141" s="1"/>
      <c r="BE141" s="1"/>
      <c r="BF141" s="1"/>
    </row>
    <row r="142" spans="1:58">
      <c r="A142" s="109">
        <v>18</v>
      </c>
      <c r="B142" s="114" t="str">
        <f>VLOOKUP(A142,P_DIS!$B$32:$Q$263,12)</f>
        <v>-</v>
      </c>
      <c r="C142" s="114" t="str">
        <f>VLOOKUP(A142,P_DIS!$B$32:$Q$263,13)</f>
        <v>-</v>
      </c>
      <c r="D142" s="114" t="str">
        <f>VLOOKUP(A142,P_DIS!$B$32:$Q$263,15)</f>
        <v>-</v>
      </c>
      <c r="E142" s="114" t="str">
        <f>VLOOKUP(A142,P_DIS!$B$32:$Q$263,14)</f>
        <v>-</v>
      </c>
      <c r="F142" s="114">
        <f>VLOOKUP(A142,P_DIS!$B$32:$Q$263,10)</f>
        <v>0</v>
      </c>
      <c r="G142" s="114" t="str">
        <f>VLOOKUP(A142,P_DIS!$B$32:$Q$263,11)</f>
        <v>-</v>
      </c>
      <c r="H142" s="114" t="str">
        <f>VLOOKUP(A142,P_DIS!$B$32:$Q$263,16)</f>
        <v>-</v>
      </c>
      <c r="I142" s="115" t="str">
        <f t="shared" si="40"/>
        <v/>
      </c>
      <c r="J142" s="116" t="str">
        <f t="shared" si="41"/>
        <v/>
      </c>
      <c r="K142" s="117" t="str">
        <f t="shared" si="42"/>
        <v/>
      </c>
      <c r="L142" s="118" t="str">
        <f t="shared" si="43"/>
        <v/>
      </c>
      <c r="M142" s="118" t="str">
        <f t="shared" si="44"/>
        <v/>
      </c>
      <c r="N142" s="118" t="str">
        <f t="shared" si="45"/>
        <v/>
      </c>
      <c r="O142" s="118" t="str">
        <f t="shared" si="46"/>
        <v/>
      </c>
      <c r="P142" s="118" t="str">
        <f t="shared" si="47"/>
        <v/>
      </c>
      <c r="Q142" s="118" t="str">
        <f t="shared" si="48"/>
        <v/>
      </c>
      <c r="R142" s="118" t="str">
        <f t="shared" si="49"/>
        <v/>
      </c>
      <c r="S142" s="118" t="str">
        <f t="shared" si="50"/>
        <v/>
      </c>
      <c r="T142" s="119" t="str">
        <f t="shared" si="33"/>
        <v/>
      </c>
      <c r="U142" s="119" t="str">
        <f t="shared" si="34"/>
        <v/>
      </c>
      <c r="V142" s="120" t="str">
        <f t="shared" si="35"/>
        <v/>
      </c>
      <c r="W142" s="120" t="str">
        <f t="shared" si="36"/>
        <v/>
      </c>
      <c r="X142" s="120" t="str">
        <f t="shared" si="37"/>
        <v/>
      </c>
      <c r="Y142" s="121" t="str">
        <f t="shared" si="38"/>
        <v/>
      </c>
      <c r="Z142" s="121" t="str">
        <f t="shared" si="39"/>
        <v/>
      </c>
      <c r="AA142" s="122">
        <v>1</v>
      </c>
      <c r="AB142" s="123">
        <v>1</v>
      </c>
      <c r="AC142" s="123" t="str">
        <f t="shared" si="51"/>
        <v/>
      </c>
      <c r="AD142" s="123" t="str">
        <f t="shared" si="52"/>
        <v/>
      </c>
      <c r="AE142" s="123" t="str">
        <f t="shared" si="53"/>
        <v/>
      </c>
      <c r="AF142" s="123" t="str">
        <f t="shared" si="54"/>
        <v/>
      </c>
      <c r="AG142" s="123" t="str">
        <f t="shared" si="55"/>
        <v/>
      </c>
      <c r="AH142" s="115" t="str">
        <f t="shared" si="56"/>
        <v/>
      </c>
      <c r="AI142" s="115" t="str">
        <f t="shared" si="57"/>
        <v/>
      </c>
      <c r="AJ142" s="115" t="str">
        <f t="shared" si="58"/>
        <v/>
      </c>
      <c r="AK142" s="115" t="str">
        <f t="shared" si="59"/>
        <v/>
      </c>
      <c r="AL142" s="115" t="str">
        <f t="shared" si="60"/>
        <v/>
      </c>
      <c r="AM142" s="115" t="str">
        <f t="shared" si="61"/>
        <v/>
      </c>
      <c r="AN142" s="115" t="str">
        <f t="shared" si="62"/>
        <v/>
      </c>
      <c r="AO142" s="3"/>
      <c r="AP142" s="3"/>
      <c r="AQ142" s="3"/>
      <c r="AR142" s="3"/>
      <c r="AS142" s="3"/>
      <c r="AT142" s="3"/>
      <c r="AU142" s="3"/>
      <c r="AZ142" s="1"/>
      <c r="BA142" s="1"/>
      <c r="BB142" s="1"/>
      <c r="BC142" s="1"/>
      <c r="BD142" s="1"/>
      <c r="BE142" s="1"/>
      <c r="BF142" s="1"/>
    </row>
    <row r="143" spans="1:58">
      <c r="A143" s="109">
        <v>19</v>
      </c>
      <c r="B143" s="114" t="str">
        <f>VLOOKUP(A143,P_DIS!$B$32:$Q$263,12)</f>
        <v>-</v>
      </c>
      <c r="C143" s="114" t="str">
        <f>VLOOKUP(A143,P_DIS!$B$32:$Q$263,13)</f>
        <v>-</v>
      </c>
      <c r="D143" s="114" t="str">
        <f>VLOOKUP(A143,P_DIS!$B$32:$Q$263,15)</f>
        <v>-</v>
      </c>
      <c r="E143" s="114" t="str">
        <f>VLOOKUP(A143,P_DIS!$B$32:$Q$263,14)</f>
        <v>-</v>
      </c>
      <c r="F143" s="114">
        <f>VLOOKUP(A143,P_DIS!$B$32:$Q$263,10)</f>
        <v>0</v>
      </c>
      <c r="G143" s="114" t="str">
        <f>VLOOKUP(A143,P_DIS!$B$32:$Q$263,11)</f>
        <v>-</v>
      </c>
      <c r="H143" s="114" t="str">
        <f>VLOOKUP(A143,P_DIS!$B$32:$Q$263,16)</f>
        <v>-</v>
      </c>
      <c r="I143" s="115" t="str">
        <f t="shared" si="40"/>
        <v/>
      </c>
      <c r="J143" s="116" t="str">
        <f t="shared" si="41"/>
        <v/>
      </c>
      <c r="K143" s="117" t="str">
        <f t="shared" si="42"/>
        <v/>
      </c>
      <c r="L143" s="118" t="str">
        <f t="shared" si="43"/>
        <v/>
      </c>
      <c r="M143" s="118" t="str">
        <f t="shared" si="44"/>
        <v/>
      </c>
      <c r="N143" s="118" t="str">
        <f t="shared" si="45"/>
        <v/>
      </c>
      <c r="O143" s="118" t="str">
        <f t="shared" si="46"/>
        <v/>
      </c>
      <c r="P143" s="118" t="str">
        <f t="shared" si="47"/>
        <v/>
      </c>
      <c r="Q143" s="118" t="str">
        <f t="shared" si="48"/>
        <v/>
      </c>
      <c r="R143" s="118" t="str">
        <f t="shared" si="49"/>
        <v/>
      </c>
      <c r="S143" s="118" t="str">
        <f t="shared" si="50"/>
        <v/>
      </c>
      <c r="T143" s="119" t="str">
        <f t="shared" si="33"/>
        <v/>
      </c>
      <c r="U143" s="119" t="str">
        <f t="shared" si="34"/>
        <v/>
      </c>
      <c r="V143" s="120" t="str">
        <f t="shared" si="35"/>
        <v/>
      </c>
      <c r="W143" s="120" t="str">
        <f t="shared" si="36"/>
        <v/>
      </c>
      <c r="X143" s="120" t="str">
        <f t="shared" si="37"/>
        <v/>
      </c>
      <c r="Y143" s="121" t="str">
        <f t="shared" si="38"/>
        <v/>
      </c>
      <c r="Z143" s="121" t="str">
        <f t="shared" si="39"/>
        <v/>
      </c>
      <c r="AA143" s="122">
        <v>1</v>
      </c>
      <c r="AB143" s="123">
        <v>1</v>
      </c>
      <c r="AC143" s="123" t="str">
        <f t="shared" si="51"/>
        <v/>
      </c>
      <c r="AD143" s="123" t="str">
        <f t="shared" si="52"/>
        <v/>
      </c>
      <c r="AE143" s="123" t="str">
        <f t="shared" si="53"/>
        <v/>
      </c>
      <c r="AF143" s="123" t="str">
        <f t="shared" si="54"/>
        <v/>
      </c>
      <c r="AG143" s="123" t="str">
        <f t="shared" si="55"/>
        <v/>
      </c>
      <c r="AH143" s="115" t="str">
        <f t="shared" si="56"/>
        <v/>
      </c>
      <c r="AI143" s="115" t="str">
        <f t="shared" si="57"/>
        <v/>
      </c>
      <c r="AJ143" s="115" t="str">
        <f t="shared" si="58"/>
        <v/>
      </c>
      <c r="AK143" s="115" t="str">
        <f t="shared" si="59"/>
        <v/>
      </c>
      <c r="AL143" s="115" t="str">
        <f t="shared" si="60"/>
        <v/>
      </c>
      <c r="AM143" s="115" t="str">
        <f t="shared" si="61"/>
        <v/>
      </c>
      <c r="AN143" s="115" t="str">
        <f t="shared" si="62"/>
        <v/>
      </c>
      <c r="AO143" s="3"/>
      <c r="AP143" s="3"/>
      <c r="AQ143" s="3"/>
      <c r="AR143" s="3"/>
      <c r="AS143" s="3"/>
      <c r="AT143" s="3"/>
      <c r="AU143" s="3"/>
      <c r="AZ143" s="1"/>
      <c r="BA143" s="1"/>
      <c r="BB143" s="1"/>
      <c r="BC143" s="1"/>
      <c r="BD143" s="1"/>
      <c r="BE143" s="1"/>
      <c r="BF143" s="1"/>
    </row>
    <row r="144" spans="1:58">
      <c r="A144" s="109">
        <v>20</v>
      </c>
      <c r="B144" s="114" t="str">
        <f>VLOOKUP(A144,P_DIS!$B$32:$Q$263,12)</f>
        <v>-</v>
      </c>
      <c r="C144" s="114" t="str">
        <f>VLOOKUP(A144,P_DIS!$B$32:$Q$263,13)</f>
        <v>-</v>
      </c>
      <c r="D144" s="114" t="str">
        <f>VLOOKUP(A144,P_DIS!$B$32:$Q$263,15)</f>
        <v>-</v>
      </c>
      <c r="E144" s="114" t="str">
        <f>VLOOKUP(A144,P_DIS!$B$32:$Q$263,14)</f>
        <v>-</v>
      </c>
      <c r="F144" s="114">
        <f>VLOOKUP(A144,P_DIS!$B$32:$Q$263,10)</f>
        <v>0</v>
      </c>
      <c r="G144" s="114" t="str">
        <f>VLOOKUP(A144,P_DIS!$B$32:$Q$263,11)</f>
        <v>-</v>
      </c>
      <c r="H144" s="114" t="str">
        <f>VLOOKUP(A144,P_DIS!$B$32:$Q$263,16)</f>
        <v>-</v>
      </c>
      <c r="I144" s="115" t="str">
        <f t="shared" si="40"/>
        <v/>
      </c>
      <c r="J144" s="116" t="str">
        <f t="shared" si="41"/>
        <v/>
      </c>
      <c r="K144" s="117" t="str">
        <f t="shared" si="42"/>
        <v/>
      </c>
      <c r="L144" s="118" t="str">
        <f t="shared" si="43"/>
        <v/>
      </c>
      <c r="M144" s="118" t="str">
        <f t="shared" si="44"/>
        <v/>
      </c>
      <c r="N144" s="118" t="str">
        <f t="shared" si="45"/>
        <v/>
      </c>
      <c r="O144" s="118" t="str">
        <f t="shared" si="46"/>
        <v/>
      </c>
      <c r="P144" s="118" t="str">
        <f t="shared" si="47"/>
        <v/>
      </c>
      <c r="Q144" s="118" t="str">
        <f t="shared" si="48"/>
        <v/>
      </c>
      <c r="R144" s="118" t="str">
        <f t="shared" si="49"/>
        <v/>
      </c>
      <c r="S144" s="118" t="str">
        <f t="shared" si="50"/>
        <v/>
      </c>
      <c r="T144" s="119" t="str">
        <f t="shared" si="33"/>
        <v/>
      </c>
      <c r="U144" s="119" t="str">
        <f t="shared" si="34"/>
        <v/>
      </c>
      <c r="V144" s="120" t="str">
        <f t="shared" si="35"/>
        <v/>
      </c>
      <c r="W144" s="120" t="str">
        <f t="shared" si="36"/>
        <v/>
      </c>
      <c r="X144" s="120" t="str">
        <f t="shared" si="37"/>
        <v/>
      </c>
      <c r="Y144" s="121" t="str">
        <f t="shared" si="38"/>
        <v/>
      </c>
      <c r="Z144" s="121" t="str">
        <f t="shared" si="39"/>
        <v/>
      </c>
      <c r="AA144" s="122">
        <v>1</v>
      </c>
      <c r="AB144" s="123">
        <v>1</v>
      </c>
      <c r="AC144" s="123" t="str">
        <f t="shared" si="51"/>
        <v/>
      </c>
      <c r="AD144" s="123" t="str">
        <f t="shared" si="52"/>
        <v/>
      </c>
      <c r="AE144" s="123" t="str">
        <f t="shared" si="53"/>
        <v/>
      </c>
      <c r="AF144" s="123" t="str">
        <f t="shared" si="54"/>
        <v/>
      </c>
      <c r="AG144" s="123" t="str">
        <f t="shared" si="55"/>
        <v/>
      </c>
      <c r="AH144" s="115" t="str">
        <f t="shared" si="56"/>
        <v/>
      </c>
      <c r="AI144" s="115" t="str">
        <f t="shared" si="57"/>
        <v/>
      </c>
      <c r="AJ144" s="115" t="str">
        <f t="shared" si="58"/>
        <v/>
      </c>
      <c r="AK144" s="115" t="str">
        <f t="shared" si="59"/>
        <v/>
      </c>
      <c r="AL144" s="115" t="str">
        <f t="shared" si="60"/>
        <v/>
      </c>
      <c r="AM144" s="115" t="str">
        <f t="shared" si="61"/>
        <v/>
      </c>
      <c r="AN144" s="115" t="str">
        <f t="shared" si="62"/>
        <v/>
      </c>
      <c r="AO144" s="3"/>
      <c r="AP144" s="3"/>
      <c r="AQ144" s="3"/>
      <c r="AR144" s="3"/>
      <c r="AS144" s="3"/>
      <c r="AT144" s="3"/>
      <c r="AU144" s="3"/>
      <c r="AZ144" s="1"/>
      <c r="BA144" s="1"/>
      <c r="BB144" s="1"/>
      <c r="BC144" s="1"/>
      <c r="BD144" s="1"/>
      <c r="BE144" s="1"/>
      <c r="BF144" s="1"/>
    </row>
    <row r="145" spans="1:58">
      <c r="A145" s="109">
        <v>21</v>
      </c>
      <c r="B145" s="114" t="str">
        <f>VLOOKUP(A145,P_DIS!$B$32:$Q$263,12)</f>
        <v>-</v>
      </c>
      <c r="C145" s="114" t="str">
        <f>VLOOKUP(A145,P_DIS!$B$32:$Q$263,13)</f>
        <v>-</v>
      </c>
      <c r="D145" s="114" t="str">
        <f>VLOOKUP(A145,P_DIS!$B$32:$Q$263,15)</f>
        <v>-</v>
      </c>
      <c r="E145" s="114" t="str">
        <f>VLOOKUP(A145,P_DIS!$B$32:$Q$263,14)</f>
        <v>-</v>
      </c>
      <c r="F145" s="114">
        <f>VLOOKUP(A145,P_DIS!$B$32:$Q$263,10)</f>
        <v>0</v>
      </c>
      <c r="G145" s="114" t="str">
        <f>VLOOKUP(A145,P_DIS!$B$32:$Q$263,11)</f>
        <v>-</v>
      </c>
      <c r="H145" s="114" t="str">
        <f>VLOOKUP(A145,P_DIS!$B$32:$Q$263,16)</f>
        <v>-</v>
      </c>
      <c r="I145" s="115" t="str">
        <f t="shared" si="40"/>
        <v/>
      </c>
      <c r="J145" s="116" t="str">
        <f t="shared" si="41"/>
        <v/>
      </c>
      <c r="K145" s="117" t="str">
        <f t="shared" si="42"/>
        <v/>
      </c>
      <c r="L145" s="118" t="str">
        <f t="shared" si="43"/>
        <v/>
      </c>
      <c r="M145" s="118" t="str">
        <f t="shared" si="44"/>
        <v/>
      </c>
      <c r="N145" s="118" t="str">
        <f t="shared" si="45"/>
        <v/>
      </c>
      <c r="O145" s="118" t="str">
        <f t="shared" si="46"/>
        <v/>
      </c>
      <c r="P145" s="118" t="str">
        <f t="shared" si="47"/>
        <v/>
      </c>
      <c r="Q145" s="118" t="str">
        <f t="shared" si="48"/>
        <v/>
      </c>
      <c r="R145" s="118" t="str">
        <f t="shared" si="49"/>
        <v/>
      </c>
      <c r="S145" s="118" t="str">
        <f t="shared" si="50"/>
        <v/>
      </c>
      <c r="T145" s="119" t="str">
        <f t="shared" si="33"/>
        <v/>
      </c>
      <c r="U145" s="119" t="str">
        <f t="shared" si="34"/>
        <v/>
      </c>
      <c r="V145" s="120" t="str">
        <f t="shared" si="35"/>
        <v/>
      </c>
      <c r="W145" s="120" t="str">
        <f t="shared" si="36"/>
        <v/>
      </c>
      <c r="X145" s="120" t="str">
        <f t="shared" si="37"/>
        <v/>
      </c>
      <c r="Y145" s="121" t="str">
        <f t="shared" si="38"/>
        <v/>
      </c>
      <c r="Z145" s="121" t="str">
        <f t="shared" si="39"/>
        <v/>
      </c>
      <c r="AA145" s="122">
        <v>1</v>
      </c>
      <c r="AB145" s="123">
        <v>1</v>
      </c>
      <c r="AC145" s="123" t="str">
        <f t="shared" si="51"/>
        <v/>
      </c>
      <c r="AD145" s="123" t="str">
        <f t="shared" si="52"/>
        <v/>
      </c>
      <c r="AE145" s="123" t="str">
        <f t="shared" si="53"/>
        <v/>
      </c>
      <c r="AF145" s="123" t="str">
        <f t="shared" si="54"/>
        <v/>
      </c>
      <c r="AG145" s="123" t="str">
        <f t="shared" si="55"/>
        <v/>
      </c>
      <c r="AH145" s="115" t="str">
        <f t="shared" si="56"/>
        <v/>
      </c>
      <c r="AI145" s="115" t="str">
        <f t="shared" si="57"/>
        <v/>
      </c>
      <c r="AJ145" s="115" t="str">
        <f t="shared" si="58"/>
        <v/>
      </c>
      <c r="AK145" s="115" t="str">
        <f t="shared" si="59"/>
        <v/>
      </c>
      <c r="AL145" s="115" t="str">
        <f t="shared" si="60"/>
        <v/>
      </c>
      <c r="AM145" s="115" t="str">
        <f t="shared" si="61"/>
        <v/>
      </c>
      <c r="AN145" s="115" t="str">
        <f t="shared" si="62"/>
        <v/>
      </c>
      <c r="AO145" s="3"/>
      <c r="AP145" s="3"/>
      <c r="AQ145" s="3"/>
      <c r="AR145" s="3"/>
      <c r="AS145" s="3"/>
      <c r="AT145" s="3"/>
      <c r="AU145" s="3"/>
      <c r="AZ145" s="1"/>
      <c r="BA145" s="1"/>
      <c r="BB145" s="1"/>
      <c r="BC145" s="1"/>
      <c r="BD145" s="1"/>
      <c r="BE145" s="1"/>
      <c r="BF145" s="1"/>
    </row>
    <row r="146" spans="1:58">
      <c r="A146" s="109">
        <v>22</v>
      </c>
      <c r="B146" s="114" t="str">
        <f>VLOOKUP(A146,P_DIS!$B$32:$Q$263,12)</f>
        <v>-</v>
      </c>
      <c r="C146" s="114" t="str">
        <f>VLOOKUP(A146,P_DIS!$B$32:$Q$263,13)</f>
        <v>-</v>
      </c>
      <c r="D146" s="114" t="str">
        <f>VLOOKUP(A146,P_DIS!$B$32:$Q$263,15)</f>
        <v>-</v>
      </c>
      <c r="E146" s="114" t="str">
        <f>VLOOKUP(A146,P_DIS!$B$32:$Q$263,14)</f>
        <v>-</v>
      </c>
      <c r="F146" s="114">
        <f>VLOOKUP(A146,P_DIS!$B$32:$Q$263,10)</f>
        <v>0</v>
      </c>
      <c r="G146" s="114" t="str">
        <f>VLOOKUP(A146,P_DIS!$B$32:$Q$263,11)</f>
        <v>-</v>
      </c>
      <c r="H146" s="114" t="str">
        <f>VLOOKUP(A146,P_DIS!$B$32:$Q$263,16)</f>
        <v>-</v>
      </c>
      <c r="I146" s="115" t="str">
        <f t="shared" si="40"/>
        <v/>
      </c>
      <c r="J146" s="116" t="str">
        <f t="shared" si="41"/>
        <v/>
      </c>
      <c r="K146" s="117" t="str">
        <f t="shared" si="42"/>
        <v/>
      </c>
      <c r="L146" s="118" t="str">
        <f t="shared" si="43"/>
        <v/>
      </c>
      <c r="M146" s="118" t="str">
        <f t="shared" si="44"/>
        <v/>
      </c>
      <c r="N146" s="118" t="str">
        <f t="shared" si="45"/>
        <v/>
      </c>
      <c r="O146" s="118" t="str">
        <f t="shared" si="46"/>
        <v/>
      </c>
      <c r="P146" s="118" t="str">
        <f t="shared" si="47"/>
        <v/>
      </c>
      <c r="Q146" s="118" t="str">
        <f t="shared" si="48"/>
        <v/>
      </c>
      <c r="R146" s="118" t="str">
        <f t="shared" si="49"/>
        <v/>
      </c>
      <c r="S146" s="118" t="str">
        <f t="shared" si="50"/>
        <v/>
      </c>
      <c r="T146" s="119" t="str">
        <f t="shared" si="33"/>
        <v/>
      </c>
      <c r="U146" s="119" t="str">
        <f t="shared" si="34"/>
        <v/>
      </c>
      <c r="V146" s="120" t="str">
        <f t="shared" si="35"/>
        <v/>
      </c>
      <c r="W146" s="120" t="str">
        <f t="shared" si="36"/>
        <v/>
      </c>
      <c r="X146" s="120" t="str">
        <f t="shared" si="37"/>
        <v/>
      </c>
      <c r="Y146" s="121" t="str">
        <f t="shared" si="38"/>
        <v/>
      </c>
      <c r="Z146" s="121" t="str">
        <f t="shared" si="39"/>
        <v/>
      </c>
      <c r="AA146" s="122">
        <v>1</v>
      </c>
      <c r="AB146" s="123">
        <v>1</v>
      </c>
      <c r="AC146" s="123" t="str">
        <f t="shared" si="51"/>
        <v/>
      </c>
      <c r="AD146" s="123" t="str">
        <f t="shared" si="52"/>
        <v/>
      </c>
      <c r="AE146" s="123" t="str">
        <f t="shared" si="53"/>
        <v/>
      </c>
      <c r="AF146" s="123" t="str">
        <f t="shared" si="54"/>
        <v/>
      </c>
      <c r="AG146" s="123" t="str">
        <f t="shared" si="55"/>
        <v/>
      </c>
      <c r="AH146" s="115" t="str">
        <f t="shared" si="56"/>
        <v/>
      </c>
      <c r="AI146" s="115" t="str">
        <f t="shared" si="57"/>
        <v/>
      </c>
      <c r="AJ146" s="115" t="str">
        <f t="shared" si="58"/>
        <v/>
      </c>
      <c r="AK146" s="115" t="str">
        <f t="shared" si="59"/>
        <v/>
      </c>
      <c r="AL146" s="115" t="str">
        <f t="shared" si="60"/>
        <v/>
      </c>
      <c r="AM146" s="115" t="str">
        <f t="shared" si="61"/>
        <v/>
      </c>
      <c r="AN146" s="115" t="str">
        <f t="shared" si="62"/>
        <v/>
      </c>
      <c r="AO146" s="3"/>
      <c r="AP146" s="3"/>
      <c r="AQ146" s="3"/>
      <c r="AR146" s="3"/>
      <c r="AS146" s="3"/>
      <c r="AT146" s="3"/>
      <c r="AU146" s="3"/>
      <c r="AZ146" s="1"/>
      <c r="BA146" s="1"/>
      <c r="BB146" s="1"/>
      <c r="BC146" s="1"/>
      <c r="BD146" s="1"/>
      <c r="BE146" s="1"/>
      <c r="BF146" s="1"/>
    </row>
    <row r="147" spans="1:58">
      <c r="A147" s="109">
        <v>23</v>
      </c>
      <c r="B147" s="114" t="str">
        <f>VLOOKUP(A147,P_DIS!$B$32:$Q$263,12)</f>
        <v>-</v>
      </c>
      <c r="C147" s="114" t="str">
        <f>VLOOKUP(A147,P_DIS!$B$32:$Q$263,13)</f>
        <v>-</v>
      </c>
      <c r="D147" s="114" t="str">
        <f>VLOOKUP(A147,P_DIS!$B$32:$Q$263,15)</f>
        <v>-</v>
      </c>
      <c r="E147" s="114" t="str">
        <f>VLOOKUP(A147,P_DIS!$B$32:$Q$263,14)</f>
        <v>-</v>
      </c>
      <c r="F147" s="114">
        <f>VLOOKUP(A147,P_DIS!$B$32:$Q$263,10)</f>
        <v>0</v>
      </c>
      <c r="G147" s="114" t="str">
        <f>VLOOKUP(A147,P_DIS!$B$32:$Q$263,11)</f>
        <v>-</v>
      </c>
      <c r="H147" s="114" t="str">
        <f>VLOOKUP(A147,P_DIS!$B$32:$Q$263,16)</f>
        <v>-</v>
      </c>
      <c r="I147" s="115" t="str">
        <f t="shared" si="40"/>
        <v/>
      </c>
      <c r="J147" s="116" t="str">
        <f t="shared" si="41"/>
        <v/>
      </c>
      <c r="K147" s="117" t="str">
        <f t="shared" si="42"/>
        <v/>
      </c>
      <c r="L147" s="118" t="str">
        <f t="shared" si="43"/>
        <v/>
      </c>
      <c r="M147" s="118" t="str">
        <f t="shared" si="44"/>
        <v/>
      </c>
      <c r="N147" s="118" t="str">
        <f t="shared" si="45"/>
        <v/>
      </c>
      <c r="O147" s="118" t="str">
        <f t="shared" si="46"/>
        <v/>
      </c>
      <c r="P147" s="118" t="str">
        <f t="shared" si="47"/>
        <v/>
      </c>
      <c r="Q147" s="118" t="str">
        <f t="shared" si="48"/>
        <v/>
      </c>
      <c r="R147" s="118" t="str">
        <f t="shared" si="49"/>
        <v/>
      </c>
      <c r="S147" s="118" t="str">
        <f t="shared" si="50"/>
        <v/>
      </c>
      <c r="T147" s="119" t="str">
        <f t="shared" si="33"/>
        <v/>
      </c>
      <c r="U147" s="119" t="str">
        <f t="shared" si="34"/>
        <v/>
      </c>
      <c r="V147" s="120" t="str">
        <f t="shared" si="35"/>
        <v/>
      </c>
      <c r="W147" s="120" t="str">
        <f t="shared" si="36"/>
        <v/>
      </c>
      <c r="X147" s="120" t="str">
        <f t="shared" si="37"/>
        <v/>
      </c>
      <c r="Y147" s="121" t="str">
        <f t="shared" si="38"/>
        <v/>
      </c>
      <c r="Z147" s="121" t="str">
        <f t="shared" si="39"/>
        <v/>
      </c>
      <c r="AA147" s="122">
        <v>1</v>
      </c>
      <c r="AB147" s="123">
        <v>1</v>
      </c>
      <c r="AC147" s="123" t="str">
        <f t="shared" si="51"/>
        <v/>
      </c>
      <c r="AD147" s="123" t="str">
        <f t="shared" si="52"/>
        <v/>
      </c>
      <c r="AE147" s="123" t="str">
        <f t="shared" si="53"/>
        <v/>
      </c>
      <c r="AF147" s="123" t="str">
        <f t="shared" si="54"/>
        <v/>
      </c>
      <c r="AG147" s="123" t="str">
        <f t="shared" si="55"/>
        <v/>
      </c>
      <c r="AH147" s="115" t="str">
        <f t="shared" si="56"/>
        <v/>
      </c>
      <c r="AI147" s="115" t="str">
        <f t="shared" si="57"/>
        <v/>
      </c>
      <c r="AJ147" s="115" t="str">
        <f t="shared" si="58"/>
        <v/>
      </c>
      <c r="AK147" s="115" t="str">
        <f t="shared" si="59"/>
        <v/>
      </c>
      <c r="AL147" s="115" t="str">
        <f t="shared" si="60"/>
        <v/>
      </c>
      <c r="AM147" s="115" t="str">
        <f t="shared" si="61"/>
        <v/>
      </c>
      <c r="AN147" s="115" t="str">
        <f t="shared" si="62"/>
        <v/>
      </c>
      <c r="AO147" s="3"/>
      <c r="AP147" s="3"/>
      <c r="AQ147" s="3"/>
      <c r="AR147" s="3"/>
      <c r="AS147" s="3"/>
      <c r="AT147" s="3"/>
      <c r="AU147" s="3"/>
      <c r="AZ147" s="1"/>
      <c r="BA147" s="1"/>
      <c r="BB147" s="1"/>
      <c r="BC147" s="1"/>
      <c r="BD147" s="1"/>
      <c r="BE147" s="1"/>
      <c r="BF147" s="1"/>
    </row>
    <row r="148" spans="1:58">
      <c r="A148" s="109">
        <v>24</v>
      </c>
      <c r="B148" s="114" t="str">
        <f>VLOOKUP(A148,P_DIS!$B$32:$Q$263,12)</f>
        <v>-</v>
      </c>
      <c r="C148" s="114" t="str">
        <f>VLOOKUP(A148,P_DIS!$B$32:$Q$263,13)</f>
        <v>-</v>
      </c>
      <c r="D148" s="114" t="str">
        <f>VLOOKUP(A148,P_DIS!$B$32:$Q$263,15)</f>
        <v>-</v>
      </c>
      <c r="E148" s="114" t="str">
        <f>VLOOKUP(A148,P_DIS!$B$32:$Q$263,14)</f>
        <v>-</v>
      </c>
      <c r="F148" s="114">
        <f>VLOOKUP(A148,P_DIS!$B$32:$Q$263,10)</f>
        <v>0</v>
      </c>
      <c r="G148" s="114" t="str">
        <f>VLOOKUP(A148,P_DIS!$B$32:$Q$263,11)</f>
        <v>-</v>
      </c>
      <c r="H148" s="114" t="str">
        <f>VLOOKUP(A148,P_DIS!$B$32:$Q$263,16)</f>
        <v>-</v>
      </c>
      <c r="I148" s="115" t="str">
        <f t="shared" si="40"/>
        <v/>
      </c>
      <c r="J148" s="116" t="str">
        <f t="shared" si="41"/>
        <v/>
      </c>
      <c r="K148" s="117" t="str">
        <f t="shared" si="42"/>
        <v/>
      </c>
      <c r="L148" s="118" t="str">
        <f t="shared" si="43"/>
        <v/>
      </c>
      <c r="M148" s="118" t="str">
        <f t="shared" si="44"/>
        <v/>
      </c>
      <c r="N148" s="118" t="str">
        <f t="shared" si="45"/>
        <v/>
      </c>
      <c r="O148" s="118" t="str">
        <f t="shared" si="46"/>
        <v/>
      </c>
      <c r="P148" s="118" t="str">
        <f t="shared" si="47"/>
        <v/>
      </c>
      <c r="Q148" s="118" t="str">
        <f t="shared" si="48"/>
        <v/>
      </c>
      <c r="R148" s="118" t="str">
        <f t="shared" si="49"/>
        <v/>
      </c>
      <c r="S148" s="118" t="str">
        <f t="shared" si="50"/>
        <v/>
      </c>
      <c r="T148" s="119" t="str">
        <f t="shared" si="33"/>
        <v/>
      </c>
      <c r="U148" s="119" t="str">
        <f t="shared" si="34"/>
        <v/>
      </c>
      <c r="V148" s="120" t="str">
        <f t="shared" si="35"/>
        <v/>
      </c>
      <c r="W148" s="120" t="str">
        <f t="shared" si="36"/>
        <v/>
      </c>
      <c r="X148" s="120" t="str">
        <f t="shared" si="37"/>
        <v/>
      </c>
      <c r="Y148" s="121" t="str">
        <f t="shared" si="38"/>
        <v/>
      </c>
      <c r="Z148" s="121" t="str">
        <f t="shared" si="39"/>
        <v/>
      </c>
      <c r="AA148" s="122">
        <v>1</v>
      </c>
      <c r="AB148" s="123">
        <v>1</v>
      </c>
      <c r="AC148" s="123" t="str">
        <f t="shared" si="51"/>
        <v/>
      </c>
      <c r="AD148" s="123" t="str">
        <f t="shared" si="52"/>
        <v/>
      </c>
      <c r="AE148" s="123" t="str">
        <f t="shared" si="53"/>
        <v/>
      </c>
      <c r="AF148" s="123" t="str">
        <f t="shared" si="54"/>
        <v/>
      </c>
      <c r="AG148" s="123" t="str">
        <f t="shared" si="55"/>
        <v/>
      </c>
      <c r="AH148" s="115" t="str">
        <f t="shared" si="56"/>
        <v/>
      </c>
      <c r="AI148" s="115" t="str">
        <f t="shared" si="57"/>
        <v/>
      </c>
      <c r="AJ148" s="115" t="str">
        <f t="shared" si="58"/>
        <v/>
      </c>
      <c r="AK148" s="115" t="str">
        <f t="shared" si="59"/>
        <v/>
      </c>
      <c r="AL148" s="115" t="str">
        <f t="shared" si="60"/>
        <v/>
      </c>
      <c r="AM148" s="115" t="str">
        <f t="shared" si="61"/>
        <v/>
      </c>
      <c r="AN148" s="115" t="str">
        <f t="shared" si="62"/>
        <v/>
      </c>
      <c r="AO148" s="3"/>
      <c r="AP148" s="3"/>
      <c r="AQ148" s="3"/>
      <c r="AR148" s="3"/>
      <c r="AS148" s="3"/>
      <c r="AT148" s="3"/>
      <c r="AU148" s="3"/>
      <c r="AZ148" s="1"/>
      <c r="BA148" s="1"/>
      <c r="BB148" s="1"/>
      <c r="BC148" s="1"/>
      <c r="BD148" s="1"/>
      <c r="BE148" s="1"/>
      <c r="BF148" s="1"/>
    </row>
    <row r="149" spans="1:58">
      <c r="A149" s="109">
        <v>25</v>
      </c>
      <c r="B149" s="114" t="str">
        <f>VLOOKUP(A149,P_DIS!$B$32:$Q$263,12)</f>
        <v>-</v>
      </c>
      <c r="C149" s="114" t="str">
        <f>VLOOKUP(A149,P_DIS!$B$32:$Q$263,13)</f>
        <v>-</v>
      </c>
      <c r="D149" s="114" t="str">
        <f>VLOOKUP(A149,P_DIS!$B$32:$Q$263,15)</f>
        <v>-</v>
      </c>
      <c r="E149" s="114" t="str">
        <f>VLOOKUP(A149,P_DIS!$B$32:$Q$263,14)</f>
        <v>-</v>
      </c>
      <c r="F149" s="114">
        <f>VLOOKUP(A149,P_DIS!$B$32:$Q$263,10)</f>
        <v>0</v>
      </c>
      <c r="G149" s="114" t="str">
        <f>VLOOKUP(A149,P_DIS!$B$32:$Q$263,11)</f>
        <v>-</v>
      </c>
      <c r="H149" s="114" t="str">
        <f>VLOOKUP(A149,P_DIS!$B$32:$Q$263,16)</f>
        <v>-</v>
      </c>
      <c r="I149" s="115" t="str">
        <f t="shared" si="40"/>
        <v/>
      </c>
      <c r="J149" s="116" t="str">
        <f t="shared" si="41"/>
        <v/>
      </c>
      <c r="K149" s="117" t="str">
        <f t="shared" si="42"/>
        <v/>
      </c>
      <c r="L149" s="118" t="str">
        <f t="shared" si="43"/>
        <v/>
      </c>
      <c r="M149" s="118" t="str">
        <f t="shared" si="44"/>
        <v/>
      </c>
      <c r="N149" s="118" t="str">
        <f t="shared" si="45"/>
        <v/>
      </c>
      <c r="O149" s="118" t="str">
        <f t="shared" si="46"/>
        <v/>
      </c>
      <c r="P149" s="118" t="str">
        <f t="shared" si="47"/>
        <v/>
      </c>
      <c r="Q149" s="118" t="str">
        <f t="shared" si="48"/>
        <v/>
      </c>
      <c r="R149" s="118" t="str">
        <f t="shared" si="49"/>
        <v/>
      </c>
      <c r="S149" s="118" t="str">
        <f t="shared" si="50"/>
        <v/>
      </c>
      <c r="T149" s="119" t="str">
        <f t="shared" si="33"/>
        <v/>
      </c>
      <c r="U149" s="119" t="str">
        <f t="shared" si="34"/>
        <v/>
      </c>
      <c r="V149" s="120" t="str">
        <f t="shared" si="35"/>
        <v/>
      </c>
      <c r="W149" s="120" t="str">
        <f t="shared" si="36"/>
        <v/>
      </c>
      <c r="X149" s="120" t="str">
        <f t="shared" si="37"/>
        <v/>
      </c>
      <c r="Y149" s="121" t="str">
        <f t="shared" si="38"/>
        <v/>
      </c>
      <c r="Z149" s="121" t="str">
        <f t="shared" si="39"/>
        <v/>
      </c>
      <c r="AA149" s="122">
        <v>1</v>
      </c>
      <c r="AB149" s="123">
        <v>1</v>
      </c>
      <c r="AC149" s="123" t="str">
        <f t="shared" si="51"/>
        <v/>
      </c>
      <c r="AD149" s="123" t="str">
        <f t="shared" si="52"/>
        <v/>
      </c>
      <c r="AE149" s="123" t="str">
        <f t="shared" si="53"/>
        <v/>
      </c>
      <c r="AF149" s="123" t="str">
        <f t="shared" si="54"/>
        <v/>
      </c>
      <c r="AG149" s="123" t="str">
        <f t="shared" si="55"/>
        <v/>
      </c>
      <c r="AH149" s="115" t="str">
        <f t="shared" si="56"/>
        <v/>
      </c>
      <c r="AI149" s="115" t="str">
        <f t="shared" si="57"/>
        <v/>
      </c>
      <c r="AJ149" s="115" t="str">
        <f t="shared" si="58"/>
        <v/>
      </c>
      <c r="AK149" s="115" t="str">
        <f t="shared" si="59"/>
        <v/>
      </c>
      <c r="AL149" s="115" t="str">
        <f t="shared" si="60"/>
        <v/>
      </c>
      <c r="AM149" s="115" t="str">
        <f t="shared" si="61"/>
        <v/>
      </c>
      <c r="AN149" s="115" t="str">
        <f t="shared" si="62"/>
        <v/>
      </c>
      <c r="AO149" s="3"/>
      <c r="AP149" s="3"/>
      <c r="AQ149" s="3"/>
      <c r="AR149" s="3"/>
      <c r="AS149" s="3"/>
      <c r="AT149" s="3"/>
      <c r="AU149" s="3"/>
      <c r="AZ149" s="1"/>
      <c r="BA149" s="1"/>
      <c r="BB149" s="1"/>
      <c r="BC149" s="1"/>
      <c r="BD149" s="1"/>
      <c r="BE149" s="1"/>
      <c r="BF149" s="1"/>
    </row>
    <row r="150" spans="1:58">
      <c r="A150" s="109">
        <v>26</v>
      </c>
      <c r="B150" s="114" t="str">
        <f>VLOOKUP(A150,P_DIS!$B$32:$Q$263,12)</f>
        <v>-</v>
      </c>
      <c r="C150" s="114" t="str">
        <f>VLOOKUP(A150,P_DIS!$B$32:$Q$263,13)</f>
        <v>-</v>
      </c>
      <c r="D150" s="114" t="str">
        <f>VLOOKUP(A150,P_DIS!$B$32:$Q$263,15)</f>
        <v>-</v>
      </c>
      <c r="E150" s="114" t="str">
        <f>VLOOKUP(A150,P_DIS!$B$32:$Q$263,14)</f>
        <v>-</v>
      </c>
      <c r="F150" s="114">
        <f>VLOOKUP(A150,P_DIS!$B$32:$Q$263,10)</f>
        <v>0</v>
      </c>
      <c r="G150" s="114" t="str">
        <f>VLOOKUP(A150,P_DIS!$B$32:$Q$263,11)</f>
        <v>-</v>
      </c>
      <c r="H150" s="114" t="str">
        <f>VLOOKUP(A150,P_DIS!$B$32:$Q$263,16)</f>
        <v>-</v>
      </c>
      <c r="I150" s="115" t="str">
        <f t="shared" si="40"/>
        <v/>
      </c>
      <c r="J150" s="116" t="str">
        <f t="shared" si="41"/>
        <v/>
      </c>
      <c r="K150" s="117" t="str">
        <f t="shared" si="42"/>
        <v/>
      </c>
      <c r="L150" s="118" t="str">
        <f t="shared" si="43"/>
        <v/>
      </c>
      <c r="M150" s="118" t="str">
        <f t="shared" si="44"/>
        <v/>
      </c>
      <c r="N150" s="118" t="str">
        <f t="shared" si="45"/>
        <v/>
      </c>
      <c r="O150" s="118" t="str">
        <f t="shared" si="46"/>
        <v/>
      </c>
      <c r="P150" s="118" t="str">
        <f t="shared" si="47"/>
        <v/>
      </c>
      <c r="Q150" s="118" t="str">
        <f t="shared" si="48"/>
        <v/>
      </c>
      <c r="R150" s="118" t="str">
        <f t="shared" si="49"/>
        <v/>
      </c>
      <c r="S150" s="118" t="str">
        <f t="shared" si="50"/>
        <v/>
      </c>
      <c r="T150" s="119" t="str">
        <f t="shared" si="33"/>
        <v/>
      </c>
      <c r="U150" s="119" t="str">
        <f t="shared" si="34"/>
        <v/>
      </c>
      <c r="V150" s="120" t="str">
        <f t="shared" si="35"/>
        <v/>
      </c>
      <c r="W150" s="120" t="str">
        <f t="shared" si="36"/>
        <v/>
      </c>
      <c r="X150" s="120" t="str">
        <f t="shared" si="37"/>
        <v/>
      </c>
      <c r="Y150" s="121" t="str">
        <f t="shared" si="38"/>
        <v/>
      </c>
      <c r="Z150" s="121" t="str">
        <f t="shared" si="39"/>
        <v/>
      </c>
      <c r="AA150" s="122">
        <v>1</v>
      </c>
      <c r="AB150" s="123">
        <v>1</v>
      </c>
      <c r="AC150" s="123" t="str">
        <f t="shared" si="51"/>
        <v/>
      </c>
      <c r="AD150" s="123" t="str">
        <f t="shared" si="52"/>
        <v/>
      </c>
      <c r="AE150" s="123" t="str">
        <f t="shared" si="53"/>
        <v/>
      </c>
      <c r="AF150" s="123" t="str">
        <f t="shared" si="54"/>
        <v/>
      </c>
      <c r="AG150" s="123" t="str">
        <f t="shared" si="55"/>
        <v/>
      </c>
      <c r="AH150" s="115" t="str">
        <f t="shared" si="56"/>
        <v/>
      </c>
      <c r="AI150" s="115" t="str">
        <f t="shared" si="57"/>
        <v/>
      </c>
      <c r="AJ150" s="115" t="str">
        <f t="shared" si="58"/>
        <v/>
      </c>
      <c r="AK150" s="115" t="str">
        <f t="shared" si="59"/>
        <v/>
      </c>
      <c r="AL150" s="115" t="str">
        <f t="shared" si="60"/>
        <v/>
      </c>
      <c r="AM150" s="115" t="str">
        <f t="shared" si="61"/>
        <v/>
      </c>
      <c r="AN150" s="115" t="str">
        <f t="shared" si="62"/>
        <v/>
      </c>
      <c r="AO150" s="3"/>
      <c r="AP150" s="3"/>
      <c r="AQ150" s="3"/>
      <c r="AR150" s="3"/>
      <c r="AS150" s="3"/>
      <c r="AT150" s="3"/>
      <c r="AU150" s="3"/>
      <c r="AZ150" s="1"/>
      <c r="BA150" s="1"/>
      <c r="BB150" s="1"/>
      <c r="BC150" s="1"/>
      <c r="BD150" s="1"/>
      <c r="BE150" s="1"/>
      <c r="BF150" s="1"/>
    </row>
    <row r="151" spans="1:58">
      <c r="A151" s="109">
        <v>27</v>
      </c>
      <c r="B151" s="114" t="str">
        <f>VLOOKUP(A151,P_DIS!$B$32:$Q$263,12)</f>
        <v>-</v>
      </c>
      <c r="C151" s="114" t="str">
        <f>VLOOKUP(A151,P_DIS!$B$32:$Q$263,13)</f>
        <v>-</v>
      </c>
      <c r="D151" s="114" t="str">
        <f>VLOOKUP(A151,P_DIS!$B$32:$Q$263,15)</f>
        <v>-</v>
      </c>
      <c r="E151" s="114" t="str">
        <f>VLOOKUP(A151,P_DIS!$B$32:$Q$263,14)</f>
        <v>-</v>
      </c>
      <c r="F151" s="114">
        <f>VLOOKUP(A151,P_DIS!$B$32:$Q$263,10)</f>
        <v>0</v>
      </c>
      <c r="G151" s="114" t="str">
        <f>VLOOKUP(A151,P_DIS!$B$32:$Q$263,11)</f>
        <v>-</v>
      </c>
      <c r="H151" s="114" t="str">
        <f>VLOOKUP(A151,P_DIS!$B$32:$Q$263,16)</f>
        <v>-</v>
      </c>
      <c r="I151" s="115" t="str">
        <f t="shared" si="40"/>
        <v/>
      </c>
      <c r="J151" s="116" t="str">
        <f t="shared" si="41"/>
        <v/>
      </c>
      <c r="K151" s="117" t="str">
        <f t="shared" si="42"/>
        <v/>
      </c>
      <c r="L151" s="118" t="str">
        <f t="shared" si="43"/>
        <v/>
      </c>
      <c r="M151" s="118" t="str">
        <f t="shared" si="44"/>
        <v/>
      </c>
      <c r="N151" s="118" t="str">
        <f t="shared" si="45"/>
        <v/>
      </c>
      <c r="O151" s="118" t="str">
        <f t="shared" si="46"/>
        <v/>
      </c>
      <c r="P151" s="118" t="str">
        <f t="shared" si="47"/>
        <v/>
      </c>
      <c r="Q151" s="118" t="str">
        <f t="shared" si="48"/>
        <v/>
      </c>
      <c r="R151" s="118" t="str">
        <f t="shared" si="49"/>
        <v/>
      </c>
      <c r="S151" s="118" t="str">
        <f t="shared" si="50"/>
        <v/>
      </c>
      <c r="T151" s="119" t="str">
        <f t="shared" si="33"/>
        <v/>
      </c>
      <c r="U151" s="119" t="str">
        <f t="shared" si="34"/>
        <v/>
      </c>
      <c r="V151" s="120" t="str">
        <f t="shared" si="35"/>
        <v/>
      </c>
      <c r="W151" s="120" t="str">
        <f t="shared" si="36"/>
        <v/>
      </c>
      <c r="X151" s="120" t="str">
        <f t="shared" si="37"/>
        <v/>
      </c>
      <c r="Y151" s="121" t="str">
        <f t="shared" si="38"/>
        <v/>
      </c>
      <c r="Z151" s="121" t="str">
        <f t="shared" si="39"/>
        <v/>
      </c>
      <c r="AA151" s="122">
        <v>1</v>
      </c>
      <c r="AB151" s="123">
        <v>1</v>
      </c>
      <c r="AC151" s="123" t="str">
        <f t="shared" si="51"/>
        <v/>
      </c>
      <c r="AD151" s="123" t="str">
        <f t="shared" si="52"/>
        <v/>
      </c>
      <c r="AE151" s="123" t="str">
        <f t="shared" si="53"/>
        <v/>
      </c>
      <c r="AF151" s="123" t="str">
        <f t="shared" si="54"/>
        <v/>
      </c>
      <c r="AG151" s="123" t="str">
        <f t="shared" si="55"/>
        <v/>
      </c>
      <c r="AH151" s="115" t="str">
        <f t="shared" si="56"/>
        <v/>
      </c>
      <c r="AI151" s="115" t="str">
        <f t="shared" si="57"/>
        <v/>
      </c>
      <c r="AJ151" s="115" t="str">
        <f t="shared" si="58"/>
        <v/>
      </c>
      <c r="AK151" s="115" t="str">
        <f t="shared" si="59"/>
        <v/>
      </c>
      <c r="AL151" s="115" t="str">
        <f t="shared" si="60"/>
        <v/>
      </c>
      <c r="AM151" s="115" t="str">
        <f t="shared" si="61"/>
        <v/>
      </c>
      <c r="AN151" s="115" t="str">
        <f t="shared" si="62"/>
        <v/>
      </c>
      <c r="AO151" s="3"/>
      <c r="AP151" s="3"/>
      <c r="AQ151" s="3"/>
      <c r="AR151" s="3"/>
      <c r="AS151" s="3"/>
      <c r="AT151" s="3"/>
      <c r="AU151" s="3"/>
      <c r="AZ151" s="1"/>
      <c r="BA151" s="1"/>
      <c r="BB151" s="1"/>
      <c r="BC151" s="1"/>
      <c r="BD151" s="1"/>
      <c r="BE151" s="1"/>
      <c r="BF151" s="1"/>
    </row>
    <row r="152" spans="1:58">
      <c r="A152" s="109">
        <v>28</v>
      </c>
      <c r="B152" s="114" t="str">
        <f>VLOOKUP(A152,P_DIS!$B$32:$Q$263,12)</f>
        <v>-</v>
      </c>
      <c r="C152" s="114" t="str">
        <f>VLOOKUP(A152,P_DIS!$B$32:$Q$263,13)</f>
        <v>-</v>
      </c>
      <c r="D152" s="114" t="str">
        <f>VLOOKUP(A152,P_DIS!$B$32:$Q$263,15)</f>
        <v>-</v>
      </c>
      <c r="E152" s="114" t="str">
        <f>VLOOKUP(A152,P_DIS!$B$32:$Q$263,14)</f>
        <v>-</v>
      </c>
      <c r="F152" s="114">
        <f>VLOOKUP(A152,P_DIS!$B$32:$Q$263,10)</f>
        <v>0</v>
      </c>
      <c r="G152" s="114" t="str">
        <f>VLOOKUP(A152,P_DIS!$B$32:$Q$263,11)</f>
        <v>-</v>
      </c>
      <c r="H152" s="114" t="str">
        <f>VLOOKUP(A152,P_DIS!$B$32:$Q$263,16)</f>
        <v>-</v>
      </c>
      <c r="I152" s="115" t="str">
        <f t="shared" si="40"/>
        <v/>
      </c>
      <c r="J152" s="116" t="str">
        <f t="shared" si="41"/>
        <v/>
      </c>
      <c r="K152" s="117" t="str">
        <f t="shared" si="42"/>
        <v/>
      </c>
      <c r="L152" s="118" t="str">
        <f t="shared" si="43"/>
        <v/>
      </c>
      <c r="M152" s="118" t="str">
        <f t="shared" si="44"/>
        <v/>
      </c>
      <c r="N152" s="118" t="str">
        <f t="shared" si="45"/>
        <v/>
      </c>
      <c r="O152" s="118" t="str">
        <f t="shared" si="46"/>
        <v/>
      </c>
      <c r="P152" s="118" t="str">
        <f t="shared" si="47"/>
        <v/>
      </c>
      <c r="Q152" s="118" t="str">
        <f t="shared" si="48"/>
        <v/>
      </c>
      <c r="R152" s="118" t="str">
        <f t="shared" si="49"/>
        <v/>
      </c>
      <c r="S152" s="118" t="str">
        <f t="shared" si="50"/>
        <v/>
      </c>
      <c r="T152" s="119" t="str">
        <f t="shared" si="33"/>
        <v/>
      </c>
      <c r="U152" s="119" t="str">
        <f t="shared" si="34"/>
        <v/>
      </c>
      <c r="V152" s="120" t="str">
        <f t="shared" si="35"/>
        <v/>
      </c>
      <c r="W152" s="120" t="str">
        <f t="shared" si="36"/>
        <v/>
      </c>
      <c r="X152" s="120" t="str">
        <f t="shared" si="37"/>
        <v/>
      </c>
      <c r="Y152" s="121" t="str">
        <f t="shared" si="38"/>
        <v/>
      </c>
      <c r="Z152" s="121" t="str">
        <f t="shared" si="39"/>
        <v/>
      </c>
      <c r="AA152" s="122">
        <v>1</v>
      </c>
      <c r="AB152" s="123">
        <v>1</v>
      </c>
      <c r="AC152" s="123" t="str">
        <f t="shared" si="51"/>
        <v/>
      </c>
      <c r="AD152" s="123" t="str">
        <f t="shared" si="52"/>
        <v/>
      </c>
      <c r="AE152" s="123" t="str">
        <f t="shared" si="53"/>
        <v/>
      </c>
      <c r="AF152" s="123" t="str">
        <f t="shared" si="54"/>
        <v/>
      </c>
      <c r="AG152" s="123" t="str">
        <f t="shared" si="55"/>
        <v/>
      </c>
      <c r="AH152" s="115" t="str">
        <f t="shared" si="56"/>
        <v/>
      </c>
      <c r="AI152" s="115" t="str">
        <f t="shared" si="57"/>
        <v/>
      </c>
      <c r="AJ152" s="115" t="str">
        <f t="shared" si="58"/>
        <v/>
      </c>
      <c r="AK152" s="115" t="str">
        <f t="shared" si="59"/>
        <v/>
      </c>
      <c r="AL152" s="115" t="str">
        <f t="shared" si="60"/>
        <v/>
      </c>
      <c r="AM152" s="115" t="str">
        <f t="shared" si="61"/>
        <v/>
      </c>
      <c r="AN152" s="115" t="str">
        <f t="shared" si="62"/>
        <v/>
      </c>
      <c r="AO152" s="3"/>
      <c r="AP152" s="3"/>
      <c r="AQ152" s="3"/>
      <c r="AR152" s="3"/>
      <c r="AS152" s="3"/>
      <c r="AT152" s="3"/>
      <c r="AU152" s="3"/>
      <c r="AZ152" s="1"/>
      <c r="BA152" s="1"/>
      <c r="BB152" s="1"/>
      <c r="BC152" s="1"/>
      <c r="BD152" s="1"/>
      <c r="BE152" s="1"/>
      <c r="BF152" s="1"/>
    </row>
    <row r="153" spans="1:58">
      <c r="A153" s="109">
        <v>29</v>
      </c>
      <c r="B153" s="114" t="str">
        <f>VLOOKUP(A153,P_DIS!$B$32:$Q$263,12)</f>
        <v>-</v>
      </c>
      <c r="C153" s="114" t="str">
        <f>VLOOKUP(A153,P_DIS!$B$32:$Q$263,13)</f>
        <v>-</v>
      </c>
      <c r="D153" s="114" t="str">
        <f>VLOOKUP(A153,P_DIS!$B$32:$Q$263,15)</f>
        <v>-</v>
      </c>
      <c r="E153" s="114" t="str">
        <f>VLOOKUP(A153,P_DIS!$B$32:$Q$263,14)</f>
        <v>-</v>
      </c>
      <c r="F153" s="114">
        <f>VLOOKUP(A153,P_DIS!$B$32:$Q$263,10)</f>
        <v>0</v>
      </c>
      <c r="G153" s="114" t="str">
        <f>VLOOKUP(A153,P_DIS!$B$32:$Q$263,11)</f>
        <v>-</v>
      </c>
      <c r="H153" s="114" t="str">
        <f>VLOOKUP(A153,P_DIS!$B$32:$Q$263,16)</f>
        <v>-</v>
      </c>
      <c r="I153" s="115" t="str">
        <f t="shared" si="40"/>
        <v/>
      </c>
      <c r="J153" s="116" t="str">
        <f t="shared" si="41"/>
        <v/>
      </c>
      <c r="K153" s="117" t="str">
        <f t="shared" si="42"/>
        <v/>
      </c>
      <c r="L153" s="118" t="str">
        <f t="shared" si="43"/>
        <v/>
      </c>
      <c r="M153" s="118" t="str">
        <f t="shared" si="44"/>
        <v/>
      </c>
      <c r="N153" s="118" t="str">
        <f t="shared" si="45"/>
        <v/>
      </c>
      <c r="O153" s="118" t="str">
        <f t="shared" si="46"/>
        <v/>
      </c>
      <c r="P153" s="118" t="str">
        <f t="shared" si="47"/>
        <v/>
      </c>
      <c r="Q153" s="118" t="str">
        <f t="shared" si="48"/>
        <v/>
      </c>
      <c r="R153" s="118" t="str">
        <f t="shared" si="49"/>
        <v/>
      </c>
      <c r="S153" s="118" t="str">
        <f t="shared" si="50"/>
        <v/>
      </c>
      <c r="T153" s="119" t="str">
        <f t="shared" si="33"/>
        <v/>
      </c>
      <c r="U153" s="119" t="str">
        <f t="shared" si="34"/>
        <v/>
      </c>
      <c r="V153" s="120" t="str">
        <f t="shared" si="35"/>
        <v/>
      </c>
      <c r="W153" s="120" t="str">
        <f t="shared" si="36"/>
        <v/>
      </c>
      <c r="X153" s="120" t="str">
        <f t="shared" si="37"/>
        <v/>
      </c>
      <c r="Y153" s="121" t="str">
        <f t="shared" si="38"/>
        <v/>
      </c>
      <c r="Z153" s="121" t="str">
        <f t="shared" si="39"/>
        <v/>
      </c>
      <c r="AA153" s="122">
        <v>1</v>
      </c>
      <c r="AB153" s="123">
        <v>1</v>
      </c>
      <c r="AC153" s="123" t="str">
        <f t="shared" si="51"/>
        <v/>
      </c>
      <c r="AD153" s="123" t="str">
        <f t="shared" si="52"/>
        <v/>
      </c>
      <c r="AE153" s="123" t="str">
        <f t="shared" si="53"/>
        <v/>
      </c>
      <c r="AF153" s="123" t="str">
        <f t="shared" si="54"/>
        <v/>
      </c>
      <c r="AG153" s="123" t="str">
        <f t="shared" si="55"/>
        <v/>
      </c>
      <c r="AH153" s="115" t="str">
        <f t="shared" si="56"/>
        <v/>
      </c>
      <c r="AI153" s="115" t="str">
        <f t="shared" si="57"/>
        <v/>
      </c>
      <c r="AJ153" s="115" t="str">
        <f t="shared" si="58"/>
        <v/>
      </c>
      <c r="AK153" s="115" t="str">
        <f t="shared" si="59"/>
        <v/>
      </c>
      <c r="AL153" s="115" t="str">
        <f t="shared" si="60"/>
        <v/>
      </c>
      <c r="AM153" s="115" t="str">
        <f t="shared" si="61"/>
        <v/>
      </c>
      <c r="AN153" s="115" t="str">
        <f t="shared" si="62"/>
        <v/>
      </c>
      <c r="AO153" s="3"/>
      <c r="AP153" s="3"/>
      <c r="AQ153" s="3"/>
      <c r="AR153" s="3"/>
      <c r="AS153" s="3"/>
      <c r="AT153" s="3"/>
      <c r="AU153" s="3"/>
      <c r="AZ153" s="1"/>
      <c r="BA153" s="1"/>
      <c r="BB153" s="1"/>
      <c r="BC153" s="1"/>
      <c r="BD153" s="1"/>
      <c r="BE153" s="1"/>
      <c r="BF153" s="1"/>
    </row>
    <row r="154" spans="1:58">
      <c r="A154" s="109">
        <v>30</v>
      </c>
      <c r="B154" s="114" t="str">
        <f>VLOOKUP(A154,P_DIS!$B$32:$Q$263,12)</f>
        <v>-</v>
      </c>
      <c r="C154" s="114" t="str">
        <f>VLOOKUP(A154,P_DIS!$B$32:$Q$263,13)</f>
        <v>-</v>
      </c>
      <c r="D154" s="114" t="str">
        <f>VLOOKUP(A154,P_DIS!$B$32:$Q$263,15)</f>
        <v>-</v>
      </c>
      <c r="E154" s="114" t="str">
        <f>VLOOKUP(A154,P_DIS!$B$32:$Q$263,14)</f>
        <v>-</v>
      </c>
      <c r="F154" s="114">
        <f>VLOOKUP(A154,P_DIS!$B$32:$Q$263,10)</f>
        <v>0</v>
      </c>
      <c r="G154" s="114" t="str">
        <f>VLOOKUP(A154,P_DIS!$B$32:$Q$263,11)</f>
        <v>-</v>
      </c>
      <c r="H154" s="114" t="str">
        <f>VLOOKUP(A154,P_DIS!$B$32:$Q$263,16)</f>
        <v>-</v>
      </c>
      <c r="I154" s="115" t="str">
        <f t="shared" si="40"/>
        <v/>
      </c>
      <c r="J154" s="116" t="str">
        <f t="shared" si="41"/>
        <v/>
      </c>
      <c r="K154" s="117" t="str">
        <f t="shared" si="42"/>
        <v/>
      </c>
      <c r="L154" s="118" t="str">
        <f t="shared" si="43"/>
        <v/>
      </c>
      <c r="M154" s="118" t="str">
        <f t="shared" si="44"/>
        <v/>
      </c>
      <c r="N154" s="118" t="str">
        <f t="shared" si="45"/>
        <v/>
      </c>
      <c r="O154" s="118" t="str">
        <f t="shared" si="46"/>
        <v/>
      </c>
      <c r="P154" s="118" t="str">
        <f t="shared" si="47"/>
        <v/>
      </c>
      <c r="Q154" s="118" t="str">
        <f t="shared" si="48"/>
        <v/>
      </c>
      <c r="R154" s="118" t="str">
        <f t="shared" si="49"/>
        <v/>
      </c>
      <c r="S154" s="118" t="str">
        <f t="shared" si="50"/>
        <v/>
      </c>
      <c r="T154" s="119" t="str">
        <f t="shared" si="33"/>
        <v/>
      </c>
      <c r="U154" s="119" t="str">
        <f t="shared" si="34"/>
        <v/>
      </c>
      <c r="V154" s="120" t="str">
        <f t="shared" si="35"/>
        <v/>
      </c>
      <c r="W154" s="120" t="str">
        <f t="shared" si="36"/>
        <v/>
      </c>
      <c r="X154" s="120" t="str">
        <f t="shared" si="37"/>
        <v/>
      </c>
      <c r="Y154" s="121" t="str">
        <f t="shared" si="38"/>
        <v/>
      </c>
      <c r="Z154" s="121" t="str">
        <f t="shared" si="39"/>
        <v/>
      </c>
      <c r="AA154" s="122">
        <v>1</v>
      </c>
      <c r="AB154" s="123">
        <v>1</v>
      </c>
      <c r="AC154" s="123" t="str">
        <f t="shared" si="51"/>
        <v/>
      </c>
      <c r="AD154" s="123" t="str">
        <f t="shared" si="52"/>
        <v/>
      </c>
      <c r="AE154" s="123" t="str">
        <f t="shared" si="53"/>
        <v/>
      </c>
      <c r="AF154" s="123" t="str">
        <f t="shared" si="54"/>
        <v/>
      </c>
      <c r="AG154" s="123" t="str">
        <f t="shared" si="55"/>
        <v/>
      </c>
      <c r="AH154" s="115" t="str">
        <f t="shared" si="56"/>
        <v/>
      </c>
      <c r="AI154" s="115" t="str">
        <f t="shared" si="57"/>
        <v/>
      </c>
      <c r="AJ154" s="115" t="str">
        <f t="shared" si="58"/>
        <v/>
      </c>
      <c r="AK154" s="115" t="str">
        <f t="shared" si="59"/>
        <v/>
      </c>
      <c r="AL154" s="115" t="str">
        <f t="shared" si="60"/>
        <v/>
      </c>
      <c r="AM154" s="115" t="str">
        <f t="shared" si="61"/>
        <v/>
      </c>
      <c r="AN154" s="115" t="str">
        <f t="shared" si="62"/>
        <v/>
      </c>
      <c r="AO154" s="3"/>
      <c r="AP154" s="3"/>
      <c r="AQ154" s="3"/>
      <c r="AR154" s="3"/>
      <c r="AS154" s="3"/>
      <c r="AT154" s="3"/>
      <c r="AU154" s="3"/>
      <c r="AZ154" s="1"/>
      <c r="BA154" s="1"/>
      <c r="BB154" s="1"/>
      <c r="BC154" s="1"/>
      <c r="BD154" s="1"/>
      <c r="BE154" s="1"/>
      <c r="BF154" s="1"/>
    </row>
    <row r="155" spans="1:58">
      <c r="A155" s="109">
        <v>31</v>
      </c>
      <c r="B155" s="114" t="str">
        <f>VLOOKUP(A155,P_DIS!$B$32:$Q$263,12)</f>
        <v>-</v>
      </c>
      <c r="C155" s="114" t="str">
        <f>VLOOKUP(A155,P_DIS!$B$32:$Q$263,13)</f>
        <v>-</v>
      </c>
      <c r="D155" s="114" t="str">
        <f>VLOOKUP(A155,P_DIS!$B$32:$Q$263,15)</f>
        <v>-</v>
      </c>
      <c r="E155" s="114" t="str">
        <f>VLOOKUP(A155,P_DIS!$B$32:$Q$263,14)</f>
        <v>-</v>
      </c>
      <c r="F155" s="114">
        <f>VLOOKUP(A155,P_DIS!$B$32:$Q$263,10)</f>
        <v>0</v>
      </c>
      <c r="G155" s="114" t="str">
        <f>VLOOKUP(A155,P_DIS!$B$32:$Q$263,11)</f>
        <v>-</v>
      </c>
      <c r="H155" s="114" t="str">
        <f>VLOOKUP(A155,P_DIS!$B$32:$Q$263,16)</f>
        <v>-</v>
      </c>
      <c r="I155" s="115" t="str">
        <f t="shared" si="40"/>
        <v/>
      </c>
      <c r="J155" s="116" t="str">
        <f t="shared" si="41"/>
        <v/>
      </c>
      <c r="K155" s="117" t="str">
        <f t="shared" si="42"/>
        <v/>
      </c>
      <c r="L155" s="118" t="str">
        <f t="shared" si="43"/>
        <v/>
      </c>
      <c r="M155" s="118" t="str">
        <f t="shared" si="44"/>
        <v/>
      </c>
      <c r="N155" s="118" t="str">
        <f t="shared" si="45"/>
        <v/>
      </c>
      <c r="O155" s="118" t="str">
        <f t="shared" si="46"/>
        <v/>
      </c>
      <c r="P155" s="118" t="str">
        <f t="shared" si="47"/>
        <v/>
      </c>
      <c r="Q155" s="118" t="str">
        <f t="shared" si="48"/>
        <v/>
      </c>
      <c r="R155" s="118" t="str">
        <f t="shared" si="49"/>
        <v/>
      </c>
      <c r="S155" s="118" t="str">
        <f t="shared" si="50"/>
        <v/>
      </c>
      <c r="T155" s="119" t="str">
        <f t="shared" si="33"/>
        <v/>
      </c>
      <c r="U155" s="119" t="str">
        <f t="shared" si="34"/>
        <v/>
      </c>
      <c r="V155" s="120" t="str">
        <f t="shared" si="35"/>
        <v/>
      </c>
      <c r="W155" s="120" t="str">
        <f t="shared" si="36"/>
        <v/>
      </c>
      <c r="X155" s="120" t="str">
        <f t="shared" si="37"/>
        <v/>
      </c>
      <c r="Y155" s="121" t="str">
        <f t="shared" si="38"/>
        <v/>
      </c>
      <c r="Z155" s="121" t="str">
        <f t="shared" si="39"/>
        <v/>
      </c>
      <c r="AA155" s="122">
        <v>1</v>
      </c>
      <c r="AB155" s="123">
        <v>1</v>
      </c>
      <c r="AC155" s="123" t="str">
        <f t="shared" si="51"/>
        <v/>
      </c>
      <c r="AD155" s="123" t="str">
        <f t="shared" si="52"/>
        <v/>
      </c>
      <c r="AE155" s="123" t="str">
        <f t="shared" si="53"/>
        <v/>
      </c>
      <c r="AF155" s="123" t="str">
        <f t="shared" si="54"/>
        <v/>
      </c>
      <c r="AG155" s="123" t="str">
        <f t="shared" si="55"/>
        <v/>
      </c>
      <c r="AH155" s="115" t="str">
        <f t="shared" si="56"/>
        <v/>
      </c>
      <c r="AI155" s="115" t="str">
        <f t="shared" si="57"/>
        <v/>
      </c>
      <c r="AJ155" s="115" t="str">
        <f t="shared" si="58"/>
        <v/>
      </c>
      <c r="AK155" s="115" t="str">
        <f t="shared" si="59"/>
        <v/>
      </c>
      <c r="AL155" s="115" t="str">
        <f t="shared" si="60"/>
        <v/>
      </c>
      <c r="AM155" s="115" t="str">
        <f t="shared" si="61"/>
        <v/>
      </c>
      <c r="AN155" s="115" t="str">
        <f t="shared" si="62"/>
        <v/>
      </c>
      <c r="AO155" s="3"/>
      <c r="AP155" s="3"/>
      <c r="AQ155" s="3"/>
      <c r="AR155" s="3"/>
      <c r="AS155" s="3"/>
      <c r="AT155" s="3"/>
      <c r="AU155" s="3"/>
      <c r="AZ155" s="1"/>
      <c r="BA155" s="1"/>
      <c r="BB155" s="1"/>
      <c r="BC155" s="1"/>
      <c r="BD155" s="1"/>
      <c r="BE155" s="1"/>
      <c r="BF155" s="1"/>
    </row>
    <row r="156" spans="1:58">
      <c r="A156" s="109">
        <v>32</v>
      </c>
      <c r="B156" s="114" t="str">
        <f>VLOOKUP(A156,P_DIS!$B$32:$Q$263,12)</f>
        <v>-</v>
      </c>
      <c r="C156" s="114" t="str">
        <f>VLOOKUP(A156,P_DIS!$B$32:$Q$263,13)</f>
        <v>-</v>
      </c>
      <c r="D156" s="114" t="str">
        <f>VLOOKUP(A156,P_DIS!$B$32:$Q$263,15)</f>
        <v>-</v>
      </c>
      <c r="E156" s="114" t="str">
        <f>VLOOKUP(A156,P_DIS!$B$32:$Q$263,14)</f>
        <v>-</v>
      </c>
      <c r="F156" s="114">
        <f>VLOOKUP(A156,P_DIS!$B$32:$Q$263,10)</f>
        <v>0</v>
      </c>
      <c r="G156" s="114" t="str">
        <f>VLOOKUP(A156,P_DIS!$B$32:$Q$263,11)</f>
        <v>-</v>
      </c>
      <c r="H156" s="114" t="str">
        <f>VLOOKUP(A156,P_DIS!$B$32:$Q$263,16)</f>
        <v>-</v>
      </c>
      <c r="I156" s="115" t="str">
        <f t="shared" si="40"/>
        <v/>
      </c>
      <c r="J156" s="116" t="str">
        <f t="shared" si="41"/>
        <v/>
      </c>
      <c r="K156" s="117" t="str">
        <f t="shared" si="42"/>
        <v/>
      </c>
      <c r="L156" s="118" t="str">
        <f t="shared" si="43"/>
        <v/>
      </c>
      <c r="M156" s="118" t="str">
        <f t="shared" si="44"/>
        <v/>
      </c>
      <c r="N156" s="118" t="str">
        <f t="shared" si="45"/>
        <v/>
      </c>
      <c r="O156" s="118" t="str">
        <f t="shared" si="46"/>
        <v/>
      </c>
      <c r="P156" s="118" t="str">
        <f t="shared" si="47"/>
        <v/>
      </c>
      <c r="Q156" s="118" t="str">
        <f t="shared" si="48"/>
        <v/>
      </c>
      <c r="R156" s="118" t="str">
        <f t="shared" si="49"/>
        <v/>
      </c>
      <c r="S156" s="118" t="str">
        <f t="shared" si="50"/>
        <v/>
      </c>
      <c r="T156" s="119" t="str">
        <f t="shared" si="33"/>
        <v/>
      </c>
      <c r="U156" s="119" t="str">
        <f t="shared" si="34"/>
        <v/>
      </c>
      <c r="V156" s="120" t="str">
        <f t="shared" si="35"/>
        <v/>
      </c>
      <c r="W156" s="120" t="str">
        <f t="shared" si="36"/>
        <v/>
      </c>
      <c r="X156" s="120" t="str">
        <f t="shared" si="37"/>
        <v/>
      </c>
      <c r="Y156" s="121" t="str">
        <f t="shared" si="38"/>
        <v/>
      </c>
      <c r="Z156" s="121" t="str">
        <f t="shared" si="39"/>
        <v/>
      </c>
      <c r="AA156" s="122">
        <v>1</v>
      </c>
      <c r="AB156" s="123">
        <v>1</v>
      </c>
      <c r="AC156" s="123" t="str">
        <f t="shared" si="51"/>
        <v/>
      </c>
      <c r="AD156" s="123" t="str">
        <f t="shared" si="52"/>
        <v/>
      </c>
      <c r="AE156" s="123" t="str">
        <f t="shared" si="53"/>
        <v/>
      </c>
      <c r="AF156" s="123" t="str">
        <f t="shared" si="54"/>
        <v/>
      </c>
      <c r="AG156" s="123" t="str">
        <f t="shared" si="55"/>
        <v/>
      </c>
      <c r="AH156" s="115" t="str">
        <f t="shared" si="56"/>
        <v/>
      </c>
      <c r="AI156" s="115" t="str">
        <f t="shared" si="57"/>
        <v/>
      </c>
      <c r="AJ156" s="115" t="str">
        <f t="shared" si="58"/>
        <v/>
      </c>
      <c r="AK156" s="115" t="str">
        <f t="shared" si="59"/>
        <v/>
      </c>
      <c r="AL156" s="115" t="str">
        <f t="shared" si="60"/>
        <v/>
      </c>
      <c r="AM156" s="115" t="str">
        <f t="shared" si="61"/>
        <v/>
      </c>
      <c r="AN156" s="115" t="str">
        <f t="shared" si="62"/>
        <v/>
      </c>
      <c r="AO156" s="3"/>
      <c r="AP156" s="3"/>
      <c r="AQ156" s="3"/>
      <c r="AR156" s="3"/>
      <c r="AS156" s="3"/>
      <c r="AT156" s="3"/>
      <c r="AU156" s="3"/>
      <c r="AZ156" s="1"/>
      <c r="BA156" s="1"/>
      <c r="BB156" s="1"/>
      <c r="BC156" s="1"/>
      <c r="BD156" s="1"/>
      <c r="BE156" s="1"/>
      <c r="BF156" s="1"/>
    </row>
    <row r="157" spans="1:58">
      <c r="A157" s="109">
        <v>33</v>
      </c>
      <c r="B157" s="114" t="str">
        <f>VLOOKUP(A157,P_DIS!$B$32:$Q$263,12)</f>
        <v>-</v>
      </c>
      <c r="C157" s="114" t="str">
        <f>VLOOKUP(A157,P_DIS!$B$32:$Q$263,13)</f>
        <v>-</v>
      </c>
      <c r="D157" s="114" t="str">
        <f>VLOOKUP(A157,P_DIS!$B$32:$Q$263,15)</f>
        <v>-</v>
      </c>
      <c r="E157" s="114" t="str">
        <f>VLOOKUP(A157,P_DIS!$B$32:$Q$263,14)</f>
        <v>-</v>
      </c>
      <c r="F157" s="114">
        <f>VLOOKUP(A157,P_DIS!$B$32:$Q$263,10)</f>
        <v>0</v>
      </c>
      <c r="G157" s="114" t="str">
        <f>VLOOKUP(A157,P_DIS!$B$32:$Q$263,11)</f>
        <v>-</v>
      </c>
      <c r="H157" s="114" t="str">
        <f>VLOOKUP(A157,P_DIS!$B$32:$Q$263,16)</f>
        <v>-</v>
      </c>
      <c r="I157" s="115" t="str">
        <f t="shared" si="40"/>
        <v/>
      </c>
      <c r="J157" s="116" t="str">
        <f t="shared" si="41"/>
        <v/>
      </c>
      <c r="K157" s="117" t="str">
        <f t="shared" si="42"/>
        <v/>
      </c>
      <c r="L157" s="118" t="str">
        <f t="shared" si="43"/>
        <v/>
      </c>
      <c r="M157" s="118" t="str">
        <f t="shared" si="44"/>
        <v/>
      </c>
      <c r="N157" s="118" t="str">
        <f t="shared" si="45"/>
        <v/>
      </c>
      <c r="O157" s="118" t="str">
        <f t="shared" si="46"/>
        <v/>
      </c>
      <c r="P157" s="118" t="str">
        <f t="shared" si="47"/>
        <v/>
      </c>
      <c r="Q157" s="118" t="str">
        <f t="shared" si="48"/>
        <v/>
      </c>
      <c r="R157" s="118" t="str">
        <f t="shared" si="49"/>
        <v/>
      </c>
      <c r="S157" s="118" t="str">
        <f t="shared" si="50"/>
        <v/>
      </c>
      <c r="T157" s="119" t="str">
        <f t="shared" si="33"/>
        <v/>
      </c>
      <c r="U157" s="119" t="str">
        <f t="shared" si="34"/>
        <v/>
      </c>
      <c r="V157" s="120" t="str">
        <f t="shared" si="35"/>
        <v/>
      </c>
      <c r="W157" s="120" t="str">
        <f t="shared" si="36"/>
        <v/>
      </c>
      <c r="X157" s="120" t="str">
        <f t="shared" ref="X157:X188" si="63">IF(H157="-","",SQRT($D$88+($D$89*POWER(B157,2))))</f>
        <v/>
      </c>
      <c r="Y157" s="121" t="str">
        <f t="shared" ref="Y157:Y188" si="64">IF(H157="-","",$D$109)</f>
        <v/>
      </c>
      <c r="Z157" s="121" t="str">
        <f t="shared" ref="Z157:Z188" si="65">IF(H157="-","",$G$118)</f>
        <v/>
      </c>
      <c r="AA157" s="122">
        <v>1</v>
      </c>
      <c r="AB157" s="123">
        <v>1</v>
      </c>
      <c r="AC157" s="123" t="str">
        <f t="shared" si="51"/>
        <v/>
      </c>
      <c r="AD157" s="123" t="str">
        <f t="shared" si="52"/>
        <v/>
      </c>
      <c r="AE157" s="123" t="str">
        <f t="shared" si="53"/>
        <v/>
      </c>
      <c r="AF157" s="123" t="str">
        <f t="shared" si="54"/>
        <v/>
      </c>
      <c r="AG157" s="123" t="str">
        <f t="shared" si="55"/>
        <v/>
      </c>
      <c r="AH157" s="115" t="str">
        <f t="shared" si="56"/>
        <v/>
      </c>
      <c r="AI157" s="115" t="str">
        <f t="shared" si="57"/>
        <v/>
      </c>
      <c r="AJ157" s="115" t="str">
        <f t="shared" si="58"/>
        <v/>
      </c>
      <c r="AK157" s="115" t="str">
        <f t="shared" si="59"/>
        <v/>
      </c>
      <c r="AL157" s="115" t="str">
        <f t="shared" si="60"/>
        <v/>
      </c>
      <c r="AM157" s="115" t="str">
        <f t="shared" si="61"/>
        <v/>
      </c>
      <c r="AN157" s="115" t="str">
        <f t="shared" si="62"/>
        <v/>
      </c>
      <c r="AO157" s="3"/>
      <c r="AP157" s="3"/>
      <c r="AQ157" s="3"/>
      <c r="AR157" s="3"/>
      <c r="AS157" s="3"/>
      <c r="AT157" s="3"/>
      <c r="AU157" s="3"/>
      <c r="AZ157" s="1"/>
      <c r="BA157" s="1"/>
      <c r="BB157" s="1"/>
      <c r="BC157" s="1"/>
      <c r="BD157" s="1"/>
      <c r="BE157" s="1"/>
      <c r="BF157" s="1"/>
    </row>
    <row r="158" spans="1:58">
      <c r="A158" s="109">
        <v>34</v>
      </c>
      <c r="B158" s="114" t="str">
        <f>VLOOKUP(A158,P_DIS!$B$32:$Q$263,12)</f>
        <v>-</v>
      </c>
      <c r="C158" s="114" t="str">
        <f>VLOOKUP(A158,P_DIS!$B$32:$Q$263,13)</f>
        <v>-</v>
      </c>
      <c r="D158" s="114" t="str">
        <f>VLOOKUP(A158,P_DIS!$B$32:$Q$263,15)</f>
        <v>-</v>
      </c>
      <c r="E158" s="114" t="str">
        <f>VLOOKUP(A158,P_DIS!$B$32:$Q$263,14)</f>
        <v>-</v>
      </c>
      <c r="F158" s="114">
        <f>VLOOKUP(A158,P_DIS!$B$32:$Q$263,10)</f>
        <v>0</v>
      </c>
      <c r="G158" s="114" t="str">
        <f>VLOOKUP(A158,P_DIS!$B$32:$Q$263,11)</f>
        <v>-</v>
      </c>
      <c r="H158" s="114" t="str">
        <f>VLOOKUP(A158,P_DIS!$B$32:$Q$263,16)</f>
        <v>-</v>
      </c>
      <c r="I158" s="115" t="str">
        <f t="shared" si="40"/>
        <v/>
      </c>
      <c r="J158" s="116" t="str">
        <f t="shared" si="41"/>
        <v/>
      </c>
      <c r="K158" s="117" t="str">
        <f t="shared" si="42"/>
        <v/>
      </c>
      <c r="L158" s="118" t="str">
        <f t="shared" si="43"/>
        <v/>
      </c>
      <c r="M158" s="118" t="str">
        <f t="shared" si="44"/>
        <v/>
      </c>
      <c r="N158" s="118" t="str">
        <f t="shared" si="45"/>
        <v/>
      </c>
      <c r="O158" s="118" t="str">
        <f t="shared" si="46"/>
        <v/>
      </c>
      <c r="P158" s="118" t="str">
        <f t="shared" si="47"/>
        <v/>
      </c>
      <c r="Q158" s="118" t="str">
        <f t="shared" si="48"/>
        <v/>
      </c>
      <c r="R158" s="118" t="str">
        <f t="shared" si="49"/>
        <v/>
      </c>
      <c r="S158" s="118" t="str">
        <f t="shared" si="50"/>
        <v/>
      </c>
      <c r="T158" s="119" t="str">
        <f t="shared" si="33"/>
        <v/>
      </c>
      <c r="U158" s="119" t="str">
        <f t="shared" si="34"/>
        <v/>
      </c>
      <c r="V158" s="120" t="str">
        <f t="shared" si="35"/>
        <v/>
      </c>
      <c r="W158" s="120" t="str">
        <f t="shared" si="36"/>
        <v/>
      </c>
      <c r="X158" s="120" t="str">
        <f t="shared" si="63"/>
        <v/>
      </c>
      <c r="Y158" s="121" t="str">
        <f t="shared" si="64"/>
        <v/>
      </c>
      <c r="Z158" s="121" t="str">
        <f t="shared" si="65"/>
        <v/>
      </c>
      <c r="AA158" s="122">
        <v>1</v>
      </c>
      <c r="AB158" s="123">
        <v>1</v>
      </c>
      <c r="AC158" s="123" t="str">
        <f t="shared" si="51"/>
        <v/>
      </c>
      <c r="AD158" s="123" t="str">
        <f t="shared" si="52"/>
        <v/>
      </c>
      <c r="AE158" s="123" t="str">
        <f t="shared" si="53"/>
        <v/>
      </c>
      <c r="AF158" s="123" t="str">
        <f t="shared" si="54"/>
        <v/>
      </c>
      <c r="AG158" s="123" t="str">
        <f t="shared" si="55"/>
        <v/>
      </c>
      <c r="AH158" s="115" t="str">
        <f t="shared" si="56"/>
        <v/>
      </c>
      <c r="AI158" s="115" t="str">
        <f t="shared" si="57"/>
        <v/>
      </c>
      <c r="AJ158" s="115" t="str">
        <f t="shared" si="58"/>
        <v/>
      </c>
      <c r="AK158" s="115" t="str">
        <f t="shared" si="59"/>
        <v/>
      </c>
      <c r="AL158" s="115" t="str">
        <f t="shared" si="60"/>
        <v/>
      </c>
      <c r="AM158" s="115" t="str">
        <f t="shared" si="61"/>
        <v/>
      </c>
      <c r="AN158" s="115" t="str">
        <f t="shared" si="62"/>
        <v/>
      </c>
      <c r="AO158" s="3"/>
      <c r="AP158" s="3"/>
      <c r="AQ158" s="3"/>
      <c r="AR158" s="3"/>
      <c r="AS158" s="3"/>
      <c r="AT158" s="3"/>
      <c r="AU158" s="3"/>
      <c r="AZ158" s="1"/>
      <c r="BA158" s="1"/>
      <c r="BB158" s="1"/>
      <c r="BC158" s="1"/>
      <c r="BD158" s="1"/>
      <c r="BE158" s="1"/>
      <c r="BF158" s="1"/>
    </row>
    <row r="159" spans="1:58">
      <c r="A159" s="109">
        <v>35</v>
      </c>
      <c r="B159" s="114" t="str">
        <f>VLOOKUP(A159,P_DIS!$B$32:$Q$263,12)</f>
        <v>-</v>
      </c>
      <c r="C159" s="114" t="str">
        <f>VLOOKUP(A159,P_DIS!$B$32:$Q$263,13)</f>
        <v>-</v>
      </c>
      <c r="D159" s="114" t="str">
        <f>VLOOKUP(A159,P_DIS!$B$32:$Q$263,15)</f>
        <v>-</v>
      </c>
      <c r="E159" s="114" t="str">
        <f>VLOOKUP(A159,P_DIS!$B$32:$Q$263,14)</f>
        <v>-</v>
      </c>
      <c r="F159" s="114">
        <f>VLOOKUP(A159,P_DIS!$B$32:$Q$263,10)</f>
        <v>0</v>
      </c>
      <c r="G159" s="114" t="str">
        <f>VLOOKUP(A159,P_DIS!$B$32:$Q$263,11)</f>
        <v>-</v>
      </c>
      <c r="H159" s="114" t="str">
        <f>VLOOKUP(A159,P_DIS!$B$32:$Q$263,16)</f>
        <v>-</v>
      </c>
      <c r="I159" s="115" t="str">
        <f t="shared" si="40"/>
        <v/>
      </c>
      <c r="J159" s="116" t="str">
        <f t="shared" si="41"/>
        <v/>
      </c>
      <c r="K159" s="117" t="str">
        <f t="shared" si="42"/>
        <v/>
      </c>
      <c r="L159" s="118" t="str">
        <f t="shared" si="43"/>
        <v/>
      </c>
      <c r="M159" s="118" t="str">
        <f t="shared" si="44"/>
        <v/>
      </c>
      <c r="N159" s="118" t="str">
        <f t="shared" si="45"/>
        <v/>
      </c>
      <c r="O159" s="118" t="str">
        <f t="shared" si="46"/>
        <v/>
      </c>
      <c r="P159" s="118" t="str">
        <f t="shared" si="47"/>
        <v/>
      </c>
      <c r="Q159" s="118" t="str">
        <f t="shared" si="48"/>
        <v/>
      </c>
      <c r="R159" s="118" t="str">
        <f t="shared" si="49"/>
        <v/>
      </c>
      <c r="S159" s="118" t="str">
        <f t="shared" si="50"/>
        <v/>
      </c>
      <c r="T159" s="119" t="str">
        <f t="shared" si="33"/>
        <v/>
      </c>
      <c r="U159" s="119" t="str">
        <f t="shared" si="34"/>
        <v/>
      </c>
      <c r="V159" s="120" t="str">
        <f t="shared" si="35"/>
        <v/>
      </c>
      <c r="W159" s="120" t="str">
        <f t="shared" si="36"/>
        <v/>
      </c>
      <c r="X159" s="120" t="str">
        <f t="shared" si="63"/>
        <v/>
      </c>
      <c r="Y159" s="121" t="str">
        <f t="shared" si="64"/>
        <v/>
      </c>
      <c r="Z159" s="121" t="str">
        <f t="shared" si="65"/>
        <v/>
      </c>
      <c r="AA159" s="122">
        <v>1</v>
      </c>
      <c r="AB159" s="123">
        <v>1</v>
      </c>
      <c r="AC159" s="123" t="str">
        <f t="shared" si="51"/>
        <v/>
      </c>
      <c r="AD159" s="123" t="str">
        <f t="shared" si="52"/>
        <v/>
      </c>
      <c r="AE159" s="123" t="str">
        <f t="shared" si="53"/>
        <v/>
      </c>
      <c r="AF159" s="123" t="str">
        <f t="shared" si="54"/>
        <v/>
      </c>
      <c r="AG159" s="123" t="str">
        <f t="shared" si="55"/>
        <v/>
      </c>
      <c r="AH159" s="115" t="str">
        <f t="shared" si="56"/>
        <v/>
      </c>
      <c r="AI159" s="115" t="str">
        <f t="shared" si="57"/>
        <v/>
      </c>
      <c r="AJ159" s="115" t="str">
        <f t="shared" si="58"/>
        <v/>
      </c>
      <c r="AK159" s="115" t="str">
        <f t="shared" si="59"/>
        <v/>
      </c>
      <c r="AL159" s="115" t="str">
        <f t="shared" si="60"/>
        <v/>
      </c>
      <c r="AM159" s="115" t="str">
        <f t="shared" si="61"/>
        <v/>
      </c>
      <c r="AN159" s="115" t="str">
        <f t="shared" si="62"/>
        <v/>
      </c>
      <c r="AO159" s="3"/>
      <c r="AP159" s="3"/>
      <c r="AQ159" s="3"/>
      <c r="AR159" s="3"/>
      <c r="AS159" s="3"/>
      <c r="AT159" s="3"/>
      <c r="AU159" s="3"/>
      <c r="AZ159" s="1"/>
      <c r="BA159" s="1"/>
      <c r="BB159" s="1"/>
      <c r="BC159" s="1"/>
      <c r="BD159" s="1"/>
      <c r="BE159" s="1"/>
      <c r="BF159" s="1"/>
    </row>
    <row r="160" spans="1:58">
      <c r="A160" s="109">
        <v>36</v>
      </c>
      <c r="B160" s="114" t="str">
        <f>VLOOKUP(A160,P_DIS!$B$32:$Q$263,12)</f>
        <v>-</v>
      </c>
      <c r="C160" s="114" t="str">
        <f>VLOOKUP(A160,P_DIS!$B$32:$Q$263,13)</f>
        <v>-</v>
      </c>
      <c r="D160" s="114" t="str">
        <f>VLOOKUP(A160,P_DIS!$B$32:$Q$263,15)</f>
        <v>-</v>
      </c>
      <c r="E160" s="114" t="str">
        <f>VLOOKUP(A160,P_DIS!$B$32:$Q$263,14)</f>
        <v>-</v>
      </c>
      <c r="F160" s="114">
        <f>VLOOKUP(A160,P_DIS!$B$32:$Q$263,10)</f>
        <v>0</v>
      </c>
      <c r="G160" s="114" t="str">
        <f>VLOOKUP(A160,P_DIS!$B$32:$Q$263,11)</f>
        <v>-</v>
      </c>
      <c r="H160" s="114" t="str">
        <f>VLOOKUP(A160,P_DIS!$B$32:$Q$263,16)</f>
        <v>-</v>
      </c>
      <c r="I160" s="115" t="str">
        <f t="shared" si="40"/>
        <v/>
      </c>
      <c r="J160" s="116" t="str">
        <f t="shared" si="41"/>
        <v/>
      </c>
      <c r="K160" s="117" t="str">
        <f t="shared" si="42"/>
        <v/>
      </c>
      <c r="L160" s="118" t="str">
        <f t="shared" si="43"/>
        <v/>
      </c>
      <c r="M160" s="118" t="str">
        <f t="shared" si="44"/>
        <v/>
      </c>
      <c r="N160" s="118" t="str">
        <f t="shared" si="45"/>
        <v/>
      </c>
      <c r="O160" s="118" t="str">
        <f t="shared" si="46"/>
        <v/>
      </c>
      <c r="P160" s="118" t="str">
        <f t="shared" si="47"/>
        <v/>
      </c>
      <c r="Q160" s="118" t="str">
        <f t="shared" si="48"/>
        <v/>
      </c>
      <c r="R160" s="118" t="str">
        <f t="shared" si="49"/>
        <v/>
      </c>
      <c r="S160" s="118" t="str">
        <f t="shared" si="50"/>
        <v/>
      </c>
      <c r="T160" s="119" t="str">
        <f t="shared" si="33"/>
        <v/>
      </c>
      <c r="U160" s="119" t="str">
        <f t="shared" si="34"/>
        <v/>
      </c>
      <c r="V160" s="120" t="str">
        <f t="shared" si="35"/>
        <v/>
      </c>
      <c r="W160" s="120" t="str">
        <f t="shared" si="36"/>
        <v/>
      </c>
      <c r="X160" s="120" t="str">
        <f t="shared" si="63"/>
        <v/>
      </c>
      <c r="Y160" s="121" t="str">
        <f t="shared" si="64"/>
        <v/>
      </c>
      <c r="Z160" s="121" t="str">
        <f t="shared" si="65"/>
        <v/>
      </c>
      <c r="AA160" s="122">
        <v>1</v>
      </c>
      <c r="AB160" s="123">
        <v>1</v>
      </c>
      <c r="AC160" s="123" t="str">
        <f t="shared" si="51"/>
        <v/>
      </c>
      <c r="AD160" s="123" t="str">
        <f t="shared" si="52"/>
        <v/>
      </c>
      <c r="AE160" s="123" t="str">
        <f t="shared" si="53"/>
        <v/>
      </c>
      <c r="AF160" s="123" t="str">
        <f t="shared" si="54"/>
        <v/>
      </c>
      <c r="AG160" s="123" t="str">
        <f t="shared" si="55"/>
        <v/>
      </c>
      <c r="AH160" s="115" t="str">
        <f t="shared" si="56"/>
        <v/>
      </c>
      <c r="AI160" s="115" t="str">
        <f t="shared" si="57"/>
        <v/>
      </c>
      <c r="AJ160" s="115" t="str">
        <f t="shared" si="58"/>
        <v/>
      </c>
      <c r="AK160" s="115" t="str">
        <f t="shared" si="59"/>
        <v/>
      </c>
      <c r="AL160" s="115" t="str">
        <f t="shared" si="60"/>
        <v/>
      </c>
      <c r="AM160" s="115" t="str">
        <f t="shared" si="61"/>
        <v/>
      </c>
      <c r="AN160" s="115" t="str">
        <f t="shared" si="62"/>
        <v/>
      </c>
      <c r="AO160" s="3"/>
      <c r="AP160" s="3"/>
      <c r="AQ160" s="3"/>
      <c r="AR160" s="3"/>
      <c r="AS160" s="3"/>
      <c r="AT160" s="3"/>
      <c r="AU160" s="3"/>
      <c r="AZ160" s="1"/>
      <c r="BA160" s="1"/>
      <c r="BB160" s="1"/>
      <c r="BC160" s="1"/>
      <c r="BD160" s="1"/>
      <c r="BE160" s="1"/>
      <c r="BF160" s="1"/>
    </row>
    <row r="161" spans="1:58">
      <c r="A161" s="109">
        <v>37</v>
      </c>
      <c r="B161" s="114" t="str">
        <f>VLOOKUP(A161,P_DIS!$B$32:$Q$263,12)</f>
        <v>-</v>
      </c>
      <c r="C161" s="114" t="str">
        <f>VLOOKUP(A161,P_DIS!$B$32:$Q$263,13)</f>
        <v>-</v>
      </c>
      <c r="D161" s="114" t="str">
        <f>VLOOKUP(A161,P_DIS!$B$32:$Q$263,15)</f>
        <v>-</v>
      </c>
      <c r="E161" s="114" t="str">
        <f>VLOOKUP(A161,P_DIS!$B$32:$Q$263,14)</f>
        <v>-</v>
      </c>
      <c r="F161" s="114">
        <f>VLOOKUP(A161,P_DIS!$B$32:$Q$263,10)</f>
        <v>0</v>
      </c>
      <c r="G161" s="114" t="str">
        <f>VLOOKUP(A161,P_DIS!$B$32:$Q$263,11)</f>
        <v>-</v>
      </c>
      <c r="H161" s="114" t="str">
        <f>VLOOKUP(A161,P_DIS!$B$32:$Q$263,16)</f>
        <v>-</v>
      </c>
      <c r="I161" s="115" t="str">
        <f t="shared" si="40"/>
        <v/>
      </c>
      <c r="J161" s="116" t="str">
        <f t="shared" si="41"/>
        <v/>
      </c>
      <c r="K161" s="117" t="str">
        <f t="shared" si="42"/>
        <v/>
      </c>
      <c r="L161" s="118" t="str">
        <f t="shared" si="43"/>
        <v/>
      </c>
      <c r="M161" s="118" t="str">
        <f t="shared" si="44"/>
        <v/>
      </c>
      <c r="N161" s="118" t="str">
        <f t="shared" si="45"/>
        <v/>
      </c>
      <c r="O161" s="118" t="str">
        <f t="shared" si="46"/>
        <v/>
      </c>
      <c r="P161" s="118" t="str">
        <f t="shared" si="47"/>
        <v/>
      </c>
      <c r="Q161" s="118" t="str">
        <f t="shared" si="48"/>
        <v/>
      </c>
      <c r="R161" s="118" t="str">
        <f t="shared" si="49"/>
        <v/>
      </c>
      <c r="S161" s="118" t="str">
        <f t="shared" si="50"/>
        <v/>
      </c>
      <c r="T161" s="119" t="str">
        <f t="shared" si="33"/>
        <v/>
      </c>
      <c r="U161" s="119" t="str">
        <f t="shared" si="34"/>
        <v/>
      </c>
      <c r="V161" s="120" t="str">
        <f t="shared" si="35"/>
        <v/>
      </c>
      <c r="W161" s="120" t="str">
        <f t="shared" si="36"/>
        <v/>
      </c>
      <c r="X161" s="120" t="str">
        <f t="shared" si="63"/>
        <v/>
      </c>
      <c r="Y161" s="121" t="str">
        <f t="shared" si="64"/>
        <v/>
      </c>
      <c r="Z161" s="121" t="str">
        <f t="shared" si="65"/>
        <v/>
      </c>
      <c r="AA161" s="122">
        <v>1</v>
      </c>
      <c r="AB161" s="123">
        <v>1</v>
      </c>
      <c r="AC161" s="123" t="str">
        <f t="shared" si="51"/>
        <v/>
      </c>
      <c r="AD161" s="123" t="str">
        <f t="shared" si="52"/>
        <v/>
      </c>
      <c r="AE161" s="123" t="str">
        <f t="shared" si="53"/>
        <v/>
      </c>
      <c r="AF161" s="123" t="str">
        <f t="shared" si="54"/>
        <v/>
      </c>
      <c r="AG161" s="123" t="str">
        <f t="shared" si="55"/>
        <v/>
      </c>
      <c r="AH161" s="115" t="str">
        <f t="shared" si="56"/>
        <v/>
      </c>
      <c r="AI161" s="115" t="str">
        <f t="shared" si="57"/>
        <v/>
      </c>
      <c r="AJ161" s="115" t="str">
        <f t="shared" si="58"/>
        <v/>
      </c>
      <c r="AK161" s="115" t="str">
        <f t="shared" si="59"/>
        <v/>
      </c>
      <c r="AL161" s="115" t="str">
        <f t="shared" si="60"/>
        <v/>
      </c>
      <c r="AM161" s="115" t="str">
        <f t="shared" si="61"/>
        <v/>
      </c>
      <c r="AN161" s="115" t="str">
        <f t="shared" si="62"/>
        <v/>
      </c>
      <c r="AO161" s="3"/>
      <c r="AP161" s="3"/>
      <c r="AQ161" s="3"/>
      <c r="AR161" s="3"/>
      <c r="AS161" s="3"/>
      <c r="AT161" s="3"/>
      <c r="AU161" s="3"/>
      <c r="AZ161" s="1"/>
      <c r="BA161" s="1"/>
      <c r="BB161" s="1"/>
      <c r="BC161" s="1"/>
      <c r="BD161" s="1"/>
      <c r="BE161" s="1"/>
      <c r="BF161" s="1"/>
    </row>
    <row r="162" spans="1:58">
      <c r="A162" s="109">
        <v>38</v>
      </c>
      <c r="B162" s="114" t="str">
        <f>VLOOKUP(A162,P_DIS!$B$32:$Q$263,12)</f>
        <v>-</v>
      </c>
      <c r="C162" s="114" t="str">
        <f>VLOOKUP(A162,P_DIS!$B$32:$Q$263,13)</f>
        <v>-</v>
      </c>
      <c r="D162" s="114" t="str">
        <f>VLOOKUP(A162,P_DIS!$B$32:$Q$263,15)</f>
        <v>-</v>
      </c>
      <c r="E162" s="114" t="str">
        <f>VLOOKUP(A162,P_DIS!$B$32:$Q$263,14)</f>
        <v>-</v>
      </c>
      <c r="F162" s="114">
        <f>VLOOKUP(A162,P_DIS!$B$32:$Q$263,10)</f>
        <v>0</v>
      </c>
      <c r="G162" s="114" t="str">
        <f>VLOOKUP(A162,P_DIS!$B$32:$Q$263,11)</f>
        <v>-</v>
      </c>
      <c r="H162" s="114" t="str">
        <f>VLOOKUP(A162,P_DIS!$B$32:$Q$263,16)</f>
        <v>-</v>
      </c>
      <c r="I162" s="115" t="str">
        <f t="shared" si="40"/>
        <v/>
      </c>
      <c r="J162" s="116" t="str">
        <f t="shared" si="41"/>
        <v/>
      </c>
      <c r="K162" s="117" t="str">
        <f t="shared" si="42"/>
        <v/>
      </c>
      <c r="L162" s="118" t="str">
        <f t="shared" si="43"/>
        <v/>
      </c>
      <c r="M162" s="118" t="str">
        <f t="shared" si="44"/>
        <v/>
      </c>
      <c r="N162" s="118" t="str">
        <f t="shared" si="45"/>
        <v/>
      </c>
      <c r="O162" s="118" t="str">
        <f t="shared" si="46"/>
        <v/>
      </c>
      <c r="P162" s="118" t="str">
        <f t="shared" si="47"/>
        <v/>
      </c>
      <c r="Q162" s="118" t="str">
        <f t="shared" si="48"/>
        <v/>
      </c>
      <c r="R162" s="118" t="str">
        <f t="shared" si="49"/>
        <v/>
      </c>
      <c r="S162" s="118" t="str">
        <f t="shared" si="50"/>
        <v/>
      </c>
      <c r="T162" s="119" t="str">
        <f t="shared" si="33"/>
        <v/>
      </c>
      <c r="U162" s="119" t="str">
        <f t="shared" si="34"/>
        <v/>
      </c>
      <c r="V162" s="120" t="str">
        <f t="shared" si="35"/>
        <v/>
      </c>
      <c r="W162" s="120" t="str">
        <f t="shared" si="36"/>
        <v/>
      </c>
      <c r="X162" s="120" t="str">
        <f t="shared" si="63"/>
        <v/>
      </c>
      <c r="Y162" s="121" t="str">
        <f t="shared" si="64"/>
        <v/>
      </c>
      <c r="Z162" s="121" t="str">
        <f t="shared" si="65"/>
        <v/>
      </c>
      <c r="AA162" s="122">
        <v>1</v>
      </c>
      <c r="AB162" s="123">
        <v>1</v>
      </c>
      <c r="AC162" s="123" t="str">
        <f t="shared" si="51"/>
        <v/>
      </c>
      <c r="AD162" s="123" t="str">
        <f t="shared" si="52"/>
        <v/>
      </c>
      <c r="AE162" s="123" t="str">
        <f t="shared" si="53"/>
        <v/>
      </c>
      <c r="AF162" s="123" t="str">
        <f t="shared" si="54"/>
        <v/>
      </c>
      <c r="AG162" s="123" t="str">
        <f t="shared" si="55"/>
        <v/>
      </c>
      <c r="AH162" s="115" t="str">
        <f t="shared" si="56"/>
        <v/>
      </c>
      <c r="AI162" s="115" t="str">
        <f t="shared" si="57"/>
        <v/>
      </c>
      <c r="AJ162" s="115" t="str">
        <f t="shared" si="58"/>
        <v/>
      </c>
      <c r="AK162" s="115" t="str">
        <f t="shared" si="59"/>
        <v/>
      </c>
      <c r="AL162" s="115" t="str">
        <f t="shared" si="60"/>
        <v/>
      </c>
      <c r="AM162" s="115" t="str">
        <f t="shared" si="61"/>
        <v/>
      </c>
      <c r="AN162" s="115" t="str">
        <f t="shared" si="62"/>
        <v/>
      </c>
      <c r="AO162" s="3"/>
      <c r="AP162" s="3"/>
      <c r="AQ162" s="3"/>
      <c r="AR162" s="3"/>
      <c r="AS162" s="3"/>
      <c r="AT162" s="3"/>
      <c r="AU162" s="3"/>
      <c r="AZ162" s="1"/>
      <c r="BA162" s="1"/>
      <c r="BB162" s="1"/>
      <c r="BC162" s="1"/>
      <c r="BD162" s="1"/>
      <c r="BE162" s="1"/>
      <c r="BF162" s="1"/>
    </row>
    <row r="163" spans="1:58">
      <c r="A163" s="109">
        <v>39</v>
      </c>
      <c r="B163" s="114" t="str">
        <f>VLOOKUP(A163,P_DIS!$B$32:$Q$263,12)</f>
        <v>-</v>
      </c>
      <c r="C163" s="114" t="str">
        <f>VLOOKUP(A163,P_DIS!$B$32:$Q$263,13)</f>
        <v>-</v>
      </c>
      <c r="D163" s="114" t="str">
        <f>VLOOKUP(A163,P_DIS!$B$32:$Q$263,15)</f>
        <v>-</v>
      </c>
      <c r="E163" s="114" t="str">
        <f>VLOOKUP(A163,P_DIS!$B$32:$Q$263,14)</f>
        <v>-</v>
      </c>
      <c r="F163" s="114">
        <f>VLOOKUP(A163,P_DIS!$B$32:$Q$263,10)</f>
        <v>0</v>
      </c>
      <c r="G163" s="114" t="str">
        <f>VLOOKUP(A163,P_DIS!$B$32:$Q$263,11)</f>
        <v>-</v>
      </c>
      <c r="H163" s="114" t="str">
        <f>VLOOKUP(A163,P_DIS!$B$32:$Q$263,16)</f>
        <v>-</v>
      </c>
      <c r="I163" s="115" t="str">
        <f t="shared" si="40"/>
        <v/>
      </c>
      <c r="J163" s="116" t="str">
        <f t="shared" si="41"/>
        <v/>
      </c>
      <c r="K163" s="117" t="str">
        <f t="shared" si="42"/>
        <v/>
      </c>
      <c r="L163" s="118" t="str">
        <f t="shared" si="43"/>
        <v/>
      </c>
      <c r="M163" s="118" t="str">
        <f t="shared" si="44"/>
        <v/>
      </c>
      <c r="N163" s="118" t="str">
        <f t="shared" si="45"/>
        <v/>
      </c>
      <c r="O163" s="118" t="str">
        <f t="shared" si="46"/>
        <v/>
      </c>
      <c r="P163" s="118" t="str">
        <f t="shared" si="47"/>
        <v/>
      </c>
      <c r="Q163" s="118" t="str">
        <f t="shared" si="48"/>
        <v/>
      </c>
      <c r="R163" s="118" t="str">
        <f t="shared" si="49"/>
        <v/>
      </c>
      <c r="S163" s="118" t="str">
        <f t="shared" si="50"/>
        <v/>
      </c>
      <c r="T163" s="119" t="str">
        <f t="shared" si="33"/>
        <v/>
      </c>
      <c r="U163" s="119" t="str">
        <f t="shared" si="34"/>
        <v/>
      </c>
      <c r="V163" s="120" t="str">
        <f t="shared" si="35"/>
        <v/>
      </c>
      <c r="W163" s="120" t="str">
        <f t="shared" si="36"/>
        <v/>
      </c>
      <c r="X163" s="120" t="str">
        <f t="shared" si="63"/>
        <v/>
      </c>
      <c r="Y163" s="121" t="str">
        <f t="shared" si="64"/>
        <v/>
      </c>
      <c r="Z163" s="121" t="str">
        <f t="shared" si="65"/>
        <v/>
      </c>
      <c r="AA163" s="122">
        <v>1</v>
      </c>
      <c r="AB163" s="123">
        <v>1</v>
      </c>
      <c r="AC163" s="123" t="str">
        <f t="shared" si="51"/>
        <v/>
      </c>
      <c r="AD163" s="123" t="str">
        <f t="shared" si="52"/>
        <v/>
      </c>
      <c r="AE163" s="123" t="str">
        <f t="shared" si="53"/>
        <v/>
      </c>
      <c r="AF163" s="123" t="str">
        <f t="shared" si="54"/>
        <v/>
      </c>
      <c r="AG163" s="123" t="str">
        <f t="shared" si="55"/>
        <v/>
      </c>
      <c r="AH163" s="115" t="str">
        <f t="shared" si="56"/>
        <v/>
      </c>
      <c r="AI163" s="115" t="str">
        <f t="shared" si="57"/>
        <v/>
      </c>
      <c r="AJ163" s="115" t="str">
        <f t="shared" si="58"/>
        <v/>
      </c>
      <c r="AK163" s="115" t="str">
        <f t="shared" si="59"/>
        <v/>
      </c>
      <c r="AL163" s="115" t="str">
        <f t="shared" si="60"/>
        <v/>
      </c>
      <c r="AM163" s="115" t="str">
        <f t="shared" si="61"/>
        <v/>
      </c>
      <c r="AN163" s="115" t="str">
        <f t="shared" si="62"/>
        <v/>
      </c>
      <c r="AO163" s="3"/>
      <c r="AP163" s="3"/>
      <c r="AQ163" s="3"/>
      <c r="AR163" s="3"/>
      <c r="AS163" s="3"/>
      <c r="AT163" s="3"/>
      <c r="AU163" s="3"/>
      <c r="AZ163" s="1"/>
      <c r="BA163" s="1"/>
      <c r="BB163" s="1"/>
      <c r="BC163" s="1"/>
      <c r="BD163" s="1"/>
      <c r="BE163" s="1"/>
      <c r="BF163" s="1"/>
    </row>
    <row r="164" spans="1:58">
      <c r="A164" s="109">
        <v>40</v>
      </c>
      <c r="B164" s="114" t="str">
        <f>VLOOKUP(A164,P_DIS!$B$32:$Q$263,12)</f>
        <v>-</v>
      </c>
      <c r="C164" s="114" t="str">
        <f>VLOOKUP(A164,P_DIS!$B$32:$Q$263,13)</f>
        <v>-</v>
      </c>
      <c r="D164" s="114" t="str">
        <f>VLOOKUP(A164,P_DIS!$B$32:$Q$263,15)</f>
        <v>-</v>
      </c>
      <c r="E164" s="114" t="str">
        <f>VLOOKUP(A164,P_DIS!$B$32:$Q$263,14)</f>
        <v>-</v>
      </c>
      <c r="F164" s="114">
        <f>VLOOKUP(A164,P_DIS!$B$32:$Q$263,10)</f>
        <v>0</v>
      </c>
      <c r="G164" s="114" t="str">
        <f>VLOOKUP(A164,P_DIS!$B$32:$Q$263,11)</f>
        <v>-</v>
      </c>
      <c r="H164" s="114" t="str">
        <f>VLOOKUP(A164,P_DIS!$B$32:$Q$263,16)</f>
        <v>-</v>
      </c>
      <c r="I164" s="115" t="str">
        <f t="shared" si="40"/>
        <v/>
      </c>
      <c r="J164" s="116" t="str">
        <f t="shared" si="41"/>
        <v/>
      </c>
      <c r="K164" s="117" t="str">
        <f t="shared" si="42"/>
        <v/>
      </c>
      <c r="L164" s="118" t="str">
        <f t="shared" si="43"/>
        <v/>
      </c>
      <c r="M164" s="118" t="str">
        <f t="shared" si="44"/>
        <v/>
      </c>
      <c r="N164" s="118" t="str">
        <f t="shared" si="45"/>
        <v/>
      </c>
      <c r="O164" s="118" t="str">
        <f t="shared" si="46"/>
        <v/>
      </c>
      <c r="P164" s="118" t="str">
        <f t="shared" si="47"/>
        <v/>
      </c>
      <c r="Q164" s="118" t="str">
        <f t="shared" si="48"/>
        <v/>
      </c>
      <c r="R164" s="118" t="str">
        <f t="shared" si="49"/>
        <v/>
      </c>
      <c r="S164" s="118" t="str">
        <f t="shared" si="50"/>
        <v/>
      </c>
      <c r="T164" s="119" t="str">
        <f t="shared" si="33"/>
        <v/>
      </c>
      <c r="U164" s="119" t="str">
        <f t="shared" si="34"/>
        <v/>
      </c>
      <c r="V164" s="120" t="str">
        <f t="shared" si="35"/>
        <v/>
      </c>
      <c r="W164" s="120" t="str">
        <f t="shared" si="36"/>
        <v/>
      </c>
      <c r="X164" s="120" t="str">
        <f t="shared" si="63"/>
        <v/>
      </c>
      <c r="Y164" s="121" t="str">
        <f t="shared" si="64"/>
        <v/>
      </c>
      <c r="Z164" s="121" t="str">
        <f t="shared" si="65"/>
        <v/>
      </c>
      <c r="AA164" s="122">
        <v>1</v>
      </c>
      <c r="AB164" s="123">
        <v>1</v>
      </c>
      <c r="AC164" s="123" t="str">
        <f t="shared" si="51"/>
        <v/>
      </c>
      <c r="AD164" s="123" t="str">
        <f t="shared" si="52"/>
        <v/>
      </c>
      <c r="AE164" s="123" t="str">
        <f t="shared" si="53"/>
        <v/>
      </c>
      <c r="AF164" s="123" t="str">
        <f t="shared" si="54"/>
        <v/>
      </c>
      <c r="AG164" s="123" t="str">
        <f t="shared" si="55"/>
        <v/>
      </c>
      <c r="AH164" s="115" t="str">
        <f t="shared" si="56"/>
        <v/>
      </c>
      <c r="AI164" s="115" t="str">
        <f t="shared" si="57"/>
        <v/>
      </c>
      <c r="AJ164" s="115" t="str">
        <f t="shared" si="58"/>
        <v/>
      </c>
      <c r="AK164" s="115" t="str">
        <f t="shared" si="59"/>
        <v/>
      </c>
      <c r="AL164" s="115" t="str">
        <f t="shared" si="60"/>
        <v/>
      </c>
      <c r="AM164" s="115" t="str">
        <f t="shared" si="61"/>
        <v/>
      </c>
      <c r="AN164" s="115" t="str">
        <f t="shared" si="62"/>
        <v/>
      </c>
      <c r="AO164" s="3"/>
      <c r="AP164" s="3"/>
      <c r="AQ164" s="3"/>
      <c r="AR164" s="3"/>
      <c r="AS164" s="3"/>
      <c r="AT164" s="3"/>
      <c r="AU164" s="3"/>
      <c r="AZ164" s="1"/>
      <c r="BA164" s="1"/>
      <c r="BB164" s="1"/>
      <c r="BC164" s="1"/>
      <c r="BD164" s="1"/>
      <c r="BE164" s="1"/>
      <c r="BF164" s="1"/>
    </row>
    <row r="165" spans="1:58">
      <c r="A165" s="109">
        <v>41</v>
      </c>
      <c r="B165" s="114" t="str">
        <f>VLOOKUP(A165,P_DIS!$B$32:$Q$263,12)</f>
        <v>-</v>
      </c>
      <c r="C165" s="114" t="str">
        <f>VLOOKUP(A165,P_DIS!$B$32:$Q$263,13)</f>
        <v>-</v>
      </c>
      <c r="D165" s="114" t="str">
        <f>VLOOKUP(A165,P_DIS!$B$32:$Q$263,15)</f>
        <v>-</v>
      </c>
      <c r="E165" s="114" t="str">
        <f>VLOOKUP(A165,P_DIS!$B$32:$Q$263,14)</f>
        <v>-</v>
      </c>
      <c r="F165" s="114">
        <f>VLOOKUP(A165,P_DIS!$B$32:$Q$263,10)</f>
        <v>0</v>
      </c>
      <c r="G165" s="114" t="str">
        <f>VLOOKUP(A165,P_DIS!$B$32:$Q$263,11)</f>
        <v>-</v>
      </c>
      <c r="H165" s="114" t="str">
        <f>VLOOKUP(A165,P_DIS!$B$32:$Q$263,16)</f>
        <v>-</v>
      </c>
      <c r="I165" s="115" t="str">
        <f t="shared" si="40"/>
        <v/>
      </c>
      <c r="J165" s="116" t="str">
        <f t="shared" si="41"/>
        <v/>
      </c>
      <c r="K165" s="117" t="str">
        <f t="shared" si="42"/>
        <v/>
      </c>
      <c r="L165" s="118" t="str">
        <f t="shared" si="43"/>
        <v/>
      </c>
      <c r="M165" s="118" t="str">
        <f t="shared" si="44"/>
        <v/>
      </c>
      <c r="N165" s="118" t="str">
        <f t="shared" si="45"/>
        <v/>
      </c>
      <c r="O165" s="118" t="str">
        <f t="shared" si="46"/>
        <v/>
      </c>
      <c r="P165" s="118" t="str">
        <f t="shared" si="47"/>
        <v/>
      </c>
      <c r="Q165" s="118" t="str">
        <f t="shared" si="48"/>
        <v/>
      </c>
      <c r="R165" s="118" t="str">
        <f t="shared" si="49"/>
        <v/>
      </c>
      <c r="S165" s="118" t="str">
        <f t="shared" si="50"/>
        <v/>
      </c>
      <c r="T165" s="119" t="str">
        <f t="shared" si="33"/>
        <v/>
      </c>
      <c r="U165" s="119" t="str">
        <f t="shared" si="34"/>
        <v/>
      </c>
      <c r="V165" s="120" t="str">
        <f t="shared" si="35"/>
        <v/>
      </c>
      <c r="W165" s="120" t="str">
        <f t="shared" si="36"/>
        <v/>
      </c>
      <c r="X165" s="120" t="str">
        <f t="shared" si="63"/>
        <v/>
      </c>
      <c r="Y165" s="121" t="str">
        <f t="shared" si="64"/>
        <v/>
      </c>
      <c r="Z165" s="121" t="str">
        <f t="shared" si="65"/>
        <v/>
      </c>
      <c r="AA165" s="122">
        <v>1</v>
      </c>
      <c r="AB165" s="123">
        <v>1</v>
      </c>
      <c r="AC165" s="123" t="str">
        <f t="shared" si="51"/>
        <v/>
      </c>
      <c r="AD165" s="123" t="str">
        <f t="shared" si="52"/>
        <v/>
      </c>
      <c r="AE165" s="123" t="str">
        <f t="shared" si="53"/>
        <v/>
      </c>
      <c r="AF165" s="123" t="str">
        <f t="shared" si="54"/>
        <v/>
      </c>
      <c r="AG165" s="123" t="str">
        <f t="shared" si="55"/>
        <v/>
      </c>
      <c r="AH165" s="115" t="str">
        <f t="shared" si="56"/>
        <v/>
      </c>
      <c r="AI165" s="115" t="str">
        <f t="shared" si="57"/>
        <v/>
      </c>
      <c r="AJ165" s="115" t="str">
        <f t="shared" si="58"/>
        <v/>
      </c>
      <c r="AK165" s="115" t="str">
        <f t="shared" si="59"/>
        <v/>
      </c>
      <c r="AL165" s="115" t="str">
        <f t="shared" si="60"/>
        <v/>
      </c>
      <c r="AM165" s="115" t="str">
        <f t="shared" si="61"/>
        <v/>
      </c>
      <c r="AN165" s="115" t="str">
        <f t="shared" si="62"/>
        <v/>
      </c>
      <c r="AO165" s="3"/>
      <c r="AP165" s="3"/>
      <c r="AQ165" s="3"/>
      <c r="AR165" s="3"/>
      <c r="AS165" s="3"/>
      <c r="AT165" s="3"/>
      <c r="AU165" s="3"/>
      <c r="AZ165" s="1"/>
      <c r="BA165" s="1"/>
      <c r="BB165" s="1"/>
      <c r="BC165" s="1"/>
      <c r="BD165" s="1"/>
      <c r="BE165" s="1"/>
      <c r="BF165" s="1"/>
    </row>
    <row r="166" spans="1:58">
      <c r="A166" s="109">
        <v>42</v>
      </c>
      <c r="B166" s="114" t="str">
        <f>VLOOKUP(A166,P_DIS!$B$32:$Q$263,12)</f>
        <v>-</v>
      </c>
      <c r="C166" s="114" t="str">
        <f>VLOOKUP(A166,P_DIS!$B$32:$Q$263,13)</f>
        <v>-</v>
      </c>
      <c r="D166" s="114" t="str">
        <f>VLOOKUP(A166,P_DIS!$B$32:$Q$263,15)</f>
        <v>-</v>
      </c>
      <c r="E166" s="114" t="str">
        <f>VLOOKUP(A166,P_DIS!$B$32:$Q$263,14)</f>
        <v>-</v>
      </c>
      <c r="F166" s="114">
        <f>VLOOKUP(A166,P_DIS!$B$32:$Q$263,10)</f>
        <v>0</v>
      </c>
      <c r="G166" s="114" t="str">
        <f>VLOOKUP(A166,P_DIS!$B$32:$Q$263,11)</f>
        <v>-</v>
      </c>
      <c r="H166" s="114" t="str">
        <f>VLOOKUP(A166,P_DIS!$B$32:$Q$263,16)</f>
        <v>-</v>
      </c>
      <c r="I166" s="115" t="str">
        <f t="shared" si="40"/>
        <v/>
      </c>
      <c r="J166" s="116" t="str">
        <f t="shared" si="41"/>
        <v/>
      </c>
      <c r="K166" s="117" t="str">
        <f t="shared" si="42"/>
        <v/>
      </c>
      <c r="L166" s="118" t="str">
        <f t="shared" si="43"/>
        <v/>
      </c>
      <c r="M166" s="118" t="str">
        <f t="shared" si="44"/>
        <v/>
      </c>
      <c r="N166" s="118" t="str">
        <f t="shared" si="45"/>
        <v/>
      </c>
      <c r="O166" s="118" t="str">
        <f t="shared" si="46"/>
        <v/>
      </c>
      <c r="P166" s="118" t="str">
        <f t="shared" si="47"/>
        <v/>
      </c>
      <c r="Q166" s="118" t="str">
        <f t="shared" si="48"/>
        <v/>
      </c>
      <c r="R166" s="118" t="str">
        <f t="shared" si="49"/>
        <v/>
      </c>
      <c r="S166" s="118" t="str">
        <f t="shared" si="50"/>
        <v/>
      </c>
      <c r="T166" s="119" t="str">
        <f t="shared" si="33"/>
        <v/>
      </c>
      <c r="U166" s="119" t="str">
        <f t="shared" si="34"/>
        <v/>
      </c>
      <c r="V166" s="120" t="str">
        <f t="shared" si="35"/>
        <v/>
      </c>
      <c r="W166" s="120" t="str">
        <f t="shared" si="36"/>
        <v/>
      </c>
      <c r="X166" s="120" t="str">
        <f t="shared" si="63"/>
        <v/>
      </c>
      <c r="Y166" s="121" t="str">
        <f t="shared" si="64"/>
        <v/>
      </c>
      <c r="Z166" s="121" t="str">
        <f t="shared" si="65"/>
        <v/>
      </c>
      <c r="AA166" s="122">
        <v>1</v>
      </c>
      <c r="AB166" s="123">
        <v>1</v>
      </c>
      <c r="AC166" s="123" t="str">
        <f t="shared" si="51"/>
        <v/>
      </c>
      <c r="AD166" s="123" t="str">
        <f t="shared" si="52"/>
        <v/>
      </c>
      <c r="AE166" s="123" t="str">
        <f t="shared" si="53"/>
        <v/>
      </c>
      <c r="AF166" s="123" t="str">
        <f t="shared" si="54"/>
        <v/>
      </c>
      <c r="AG166" s="123" t="str">
        <f t="shared" si="55"/>
        <v/>
      </c>
      <c r="AH166" s="115" t="str">
        <f t="shared" si="56"/>
        <v/>
      </c>
      <c r="AI166" s="115" t="str">
        <f t="shared" si="57"/>
        <v/>
      </c>
      <c r="AJ166" s="115" t="str">
        <f t="shared" si="58"/>
        <v/>
      </c>
      <c r="AK166" s="115" t="str">
        <f t="shared" si="59"/>
        <v/>
      </c>
      <c r="AL166" s="115" t="str">
        <f t="shared" si="60"/>
        <v/>
      </c>
      <c r="AM166" s="115" t="str">
        <f t="shared" si="61"/>
        <v/>
      </c>
      <c r="AN166" s="115" t="str">
        <f t="shared" si="62"/>
        <v/>
      </c>
      <c r="AO166" s="3"/>
      <c r="AP166" s="3"/>
      <c r="AQ166" s="3"/>
      <c r="AR166" s="3"/>
      <c r="AS166" s="3"/>
      <c r="AT166" s="3"/>
      <c r="AU166" s="3"/>
      <c r="AZ166" s="1"/>
      <c r="BA166" s="1"/>
      <c r="BB166" s="1"/>
      <c r="BC166" s="1"/>
      <c r="BD166" s="1"/>
      <c r="BE166" s="1"/>
      <c r="BF166" s="1"/>
    </row>
    <row r="167" spans="1:58">
      <c r="A167" s="109">
        <v>43</v>
      </c>
      <c r="B167" s="114" t="str">
        <f>VLOOKUP(A167,P_DIS!$B$32:$Q$263,12)</f>
        <v>-</v>
      </c>
      <c r="C167" s="114" t="str">
        <f>VLOOKUP(A167,P_DIS!$B$32:$Q$263,13)</f>
        <v>-</v>
      </c>
      <c r="D167" s="114" t="str">
        <f>VLOOKUP(A167,P_DIS!$B$32:$Q$263,15)</f>
        <v>-</v>
      </c>
      <c r="E167" s="114" t="str">
        <f>VLOOKUP(A167,P_DIS!$B$32:$Q$263,14)</f>
        <v>-</v>
      </c>
      <c r="F167" s="114">
        <f>VLOOKUP(A167,P_DIS!$B$32:$Q$263,10)</f>
        <v>0</v>
      </c>
      <c r="G167" s="114" t="str">
        <f>VLOOKUP(A167,P_DIS!$B$32:$Q$263,11)</f>
        <v>-</v>
      </c>
      <c r="H167" s="114" t="str">
        <f>VLOOKUP(A167,P_DIS!$B$32:$Q$263,16)</f>
        <v>-</v>
      </c>
      <c r="I167" s="115" t="str">
        <f t="shared" si="40"/>
        <v/>
      </c>
      <c r="J167" s="116" t="str">
        <f t="shared" si="41"/>
        <v/>
      </c>
      <c r="K167" s="117" t="str">
        <f t="shared" si="42"/>
        <v/>
      </c>
      <c r="L167" s="118" t="str">
        <f t="shared" si="43"/>
        <v/>
      </c>
      <c r="M167" s="118" t="str">
        <f t="shared" si="44"/>
        <v/>
      </c>
      <c r="N167" s="118" t="str">
        <f t="shared" si="45"/>
        <v/>
      </c>
      <c r="O167" s="118" t="str">
        <f t="shared" si="46"/>
        <v/>
      </c>
      <c r="P167" s="118" t="str">
        <f t="shared" si="47"/>
        <v/>
      </c>
      <c r="Q167" s="118" t="str">
        <f t="shared" si="48"/>
        <v/>
      </c>
      <c r="R167" s="118" t="str">
        <f t="shared" si="49"/>
        <v/>
      </c>
      <c r="S167" s="118" t="str">
        <f t="shared" si="50"/>
        <v/>
      </c>
      <c r="T167" s="119" t="str">
        <f t="shared" si="33"/>
        <v/>
      </c>
      <c r="U167" s="119" t="str">
        <f t="shared" si="34"/>
        <v/>
      </c>
      <c r="V167" s="120" t="str">
        <f t="shared" si="35"/>
        <v/>
      </c>
      <c r="W167" s="120" t="str">
        <f t="shared" si="36"/>
        <v/>
      </c>
      <c r="X167" s="120" t="str">
        <f t="shared" si="63"/>
        <v/>
      </c>
      <c r="Y167" s="121" t="str">
        <f t="shared" si="64"/>
        <v/>
      </c>
      <c r="Z167" s="121" t="str">
        <f t="shared" si="65"/>
        <v/>
      </c>
      <c r="AA167" s="122">
        <v>1</v>
      </c>
      <c r="AB167" s="123">
        <v>1</v>
      </c>
      <c r="AC167" s="123" t="str">
        <f t="shared" si="51"/>
        <v/>
      </c>
      <c r="AD167" s="123" t="str">
        <f t="shared" si="52"/>
        <v/>
      </c>
      <c r="AE167" s="123" t="str">
        <f t="shared" si="53"/>
        <v/>
      </c>
      <c r="AF167" s="123" t="str">
        <f t="shared" si="54"/>
        <v/>
      </c>
      <c r="AG167" s="123" t="str">
        <f t="shared" si="55"/>
        <v/>
      </c>
      <c r="AH167" s="115" t="str">
        <f t="shared" si="56"/>
        <v/>
      </c>
      <c r="AI167" s="115" t="str">
        <f t="shared" si="57"/>
        <v/>
      </c>
      <c r="AJ167" s="115" t="str">
        <f t="shared" si="58"/>
        <v/>
      </c>
      <c r="AK167" s="115" t="str">
        <f t="shared" si="59"/>
        <v/>
      </c>
      <c r="AL167" s="115" t="str">
        <f t="shared" si="60"/>
        <v/>
      </c>
      <c r="AM167" s="115" t="str">
        <f t="shared" si="61"/>
        <v/>
      </c>
      <c r="AN167" s="115" t="str">
        <f t="shared" si="62"/>
        <v/>
      </c>
      <c r="AO167" s="3"/>
      <c r="AP167" s="3"/>
      <c r="AQ167" s="3"/>
      <c r="AR167" s="3"/>
      <c r="AS167" s="3"/>
      <c r="AT167" s="3"/>
      <c r="AU167" s="3"/>
      <c r="AZ167" s="1"/>
      <c r="BA167" s="1"/>
      <c r="BB167" s="1"/>
      <c r="BC167" s="1"/>
      <c r="BD167" s="1"/>
      <c r="BE167" s="1"/>
      <c r="BF167" s="1"/>
    </row>
    <row r="168" spans="1:58">
      <c r="A168" s="109">
        <v>44</v>
      </c>
      <c r="B168" s="114" t="str">
        <f>VLOOKUP(A168,P_DIS!$B$32:$Q$263,12)</f>
        <v>-</v>
      </c>
      <c r="C168" s="114" t="str">
        <f>VLOOKUP(A168,P_DIS!$B$32:$Q$263,13)</f>
        <v>-</v>
      </c>
      <c r="D168" s="114" t="str">
        <f>VLOOKUP(A168,P_DIS!$B$32:$Q$263,15)</f>
        <v>-</v>
      </c>
      <c r="E168" s="114" t="str">
        <f>VLOOKUP(A168,P_DIS!$B$32:$Q$263,14)</f>
        <v>-</v>
      </c>
      <c r="F168" s="114">
        <f>VLOOKUP(A168,P_DIS!$B$32:$Q$263,10)</f>
        <v>0</v>
      </c>
      <c r="G168" s="114" t="str">
        <f>VLOOKUP(A168,P_DIS!$B$32:$Q$263,11)</f>
        <v>-</v>
      </c>
      <c r="H168" s="114" t="str">
        <f>VLOOKUP(A168,P_DIS!$B$32:$Q$263,16)</f>
        <v>-</v>
      </c>
      <c r="I168" s="115" t="str">
        <f t="shared" si="40"/>
        <v/>
      </c>
      <c r="J168" s="116" t="str">
        <f t="shared" si="41"/>
        <v/>
      </c>
      <c r="K168" s="117" t="str">
        <f t="shared" si="42"/>
        <v/>
      </c>
      <c r="L168" s="118" t="str">
        <f t="shared" si="43"/>
        <v/>
      </c>
      <c r="M168" s="118" t="str">
        <f t="shared" si="44"/>
        <v/>
      </c>
      <c r="N168" s="118" t="str">
        <f t="shared" si="45"/>
        <v/>
      </c>
      <c r="O168" s="118" t="str">
        <f t="shared" si="46"/>
        <v/>
      </c>
      <c r="P168" s="118" t="str">
        <f t="shared" si="47"/>
        <v/>
      </c>
      <c r="Q168" s="118" t="str">
        <f t="shared" si="48"/>
        <v/>
      </c>
      <c r="R168" s="118" t="str">
        <f t="shared" si="49"/>
        <v/>
      </c>
      <c r="S168" s="118" t="str">
        <f t="shared" si="50"/>
        <v/>
      </c>
      <c r="T168" s="119" t="str">
        <f t="shared" si="33"/>
        <v/>
      </c>
      <c r="U168" s="119" t="str">
        <f t="shared" si="34"/>
        <v/>
      </c>
      <c r="V168" s="120" t="str">
        <f t="shared" si="35"/>
        <v/>
      </c>
      <c r="W168" s="120" t="str">
        <f t="shared" si="36"/>
        <v/>
      </c>
      <c r="X168" s="120" t="str">
        <f t="shared" si="63"/>
        <v/>
      </c>
      <c r="Y168" s="121" t="str">
        <f t="shared" si="64"/>
        <v/>
      </c>
      <c r="Z168" s="121" t="str">
        <f t="shared" si="65"/>
        <v/>
      </c>
      <c r="AA168" s="122">
        <v>1</v>
      </c>
      <c r="AB168" s="123">
        <v>1</v>
      </c>
      <c r="AC168" s="123" t="str">
        <f t="shared" si="51"/>
        <v/>
      </c>
      <c r="AD168" s="123" t="str">
        <f t="shared" si="52"/>
        <v/>
      </c>
      <c r="AE168" s="123" t="str">
        <f t="shared" si="53"/>
        <v/>
      </c>
      <c r="AF168" s="123" t="str">
        <f t="shared" si="54"/>
        <v/>
      </c>
      <c r="AG168" s="123" t="str">
        <f t="shared" si="55"/>
        <v/>
      </c>
      <c r="AH168" s="115" t="str">
        <f t="shared" si="56"/>
        <v/>
      </c>
      <c r="AI168" s="115" t="str">
        <f t="shared" si="57"/>
        <v/>
      </c>
      <c r="AJ168" s="115" t="str">
        <f t="shared" si="58"/>
        <v/>
      </c>
      <c r="AK168" s="115" t="str">
        <f t="shared" si="59"/>
        <v/>
      </c>
      <c r="AL168" s="115" t="str">
        <f t="shared" si="60"/>
        <v/>
      </c>
      <c r="AM168" s="115" t="str">
        <f t="shared" si="61"/>
        <v/>
      </c>
      <c r="AN168" s="115" t="str">
        <f t="shared" si="62"/>
        <v/>
      </c>
      <c r="AO168" s="3"/>
      <c r="AP168" s="3"/>
      <c r="AQ168" s="3"/>
      <c r="AR168" s="3"/>
      <c r="AS168" s="3"/>
      <c r="AT168" s="3"/>
      <c r="AU168" s="3"/>
      <c r="AZ168" s="1"/>
      <c r="BA168" s="1"/>
      <c r="BB168" s="1"/>
      <c r="BC168" s="1"/>
      <c r="BD168" s="1"/>
      <c r="BE168" s="1"/>
      <c r="BF168" s="1"/>
    </row>
    <row r="169" spans="1:58">
      <c r="A169" s="109">
        <v>45</v>
      </c>
      <c r="B169" s="114" t="str">
        <f>VLOOKUP(A169,P_DIS!$B$32:$Q$263,12)</f>
        <v>-</v>
      </c>
      <c r="C169" s="114" t="str">
        <f>VLOOKUP(A169,P_DIS!$B$32:$Q$263,13)</f>
        <v>-</v>
      </c>
      <c r="D169" s="114" t="str">
        <f>VLOOKUP(A169,P_DIS!$B$32:$Q$263,15)</f>
        <v>-</v>
      </c>
      <c r="E169" s="114" t="str">
        <f>VLOOKUP(A169,P_DIS!$B$32:$Q$263,14)</f>
        <v>-</v>
      </c>
      <c r="F169" s="114">
        <f>VLOOKUP(A169,P_DIS!$B$32:$Q$263,10)</f>
        <v>0</v>
      </c>
      <c r="G169" s="114" t="str">
        <f>VLOOKUP(A169,P_DIS!$B$32:$Q$263,11)</f>
        <v>-</v>
      </c>
      <c r="H169" s="114" t="str">
        <f>VLOOKUP(A169,P_DIS!$B$32:$Q$263,16)</f>
        <v>-</v>
      </c>
      <c r="I169" s="115" t="str">
        <f t="shared" si="40"/>
        <v/>
      </c>
      <c r="J169" s="116" t="str">
        <f t="shared" si="41"/>
        <v/>
      </c>
      <c r="K169" s="117" t="str">
        <f t="shared" si="42"/>
        <v/>
      </c>
      <c r="L169" s="118" t="str">
        <f t="shared" si="43"/>
        <v/>
      </c>
      <c r="M169" s="118" t="str">
        <f t="shared" si="44"/>
        <v/>
      </c>
      <c r="N169" s="118" t="str">
        <f t="shared" si="45"/>
        <v/>
      </c>
      <c r="O169" s="118" t="str">
        <f t="shared" si="46"/>
        <v/>
      </c>
      <c r="P169" s="118" t="str">
        <f t="shared" si="47"/>
        <v/>
      </c>
      <c r="Q169" s="118" t="str">
        <f t="shared" si="48"/>
        <v/>
      </c>
      <c r="R169" s="118" t="str">
        <f t="shared" si="49"/>
        <v/>
      </c>
      <c r="S169" s="118" t="str">
        <f t="shared" si="50"/>
        <v/>
      </c>
      <c r="T169" s="119" t="str">
        <f t="shared" si="33"/>
        <v/>
      </c>
      <c r="U169" s="119" t="str">
        <f t="shared" si="34"/>
        <v/>
      </c>
      <c r="V169" s="120" t="str">
        <f t="shared" si="35"/>
        <v/>
      </c>
      <c r="W169" s="120" t="str">
        <f t="shared" si="36"/>
        <v/>
      </c>
      <c r="X169" s="120" t="str">
        <f t="shared" si="63"/>
        <v/>
      </c>
      <c r="Y169" s="121" t="str">
        <f t="shared" si="64"/>
        <v/>
      </c>
      <c r="Z169" s="121" t="str">
        <f t="shared" si="65"/>
        <v/>
      </c>
      <c r="AA169" s="122">
        <v>1</v>
      </c>
      <c r="AB169" s="123">
        <v>1</v>
      </c>
      <c r="AC169" s="123" t="str">
        <f t="shared" si="51"/>
        <v/>
      </c>
      <c r="AD169" s="123" t="str">
        <f t="shared" si="52"/>
        <v/>
      </c>
      <c r="AE169" s="123" t="str">
        <f t="shared" si="53"/>
        <v/>
      </c>
      <c r="AF169" s="123" t="str">
        <f t="shared" si="54"/>
        <v/>
      </c>
      <c r="AG169" s="123" t="str">
        <f t="shared" si="55"/>
        <v/>
      </c>
      <c r="AH169" s="115" t="str">
        <f t="shared" si="56"/>
        <v/>
      </c>
      <c r="AI169" s="115" t="str">
        <f t="shared" si="57"/>
        <v/>
      </c>
      <c r="AJ169" s="115" t="str">
        <f t="shared" si="58"/>
        <v/>
      </c>
      <c r="AK169" s="115" t="str">
        <f t="shared" si="59"/>
        <v/>
      </c>
      <c r="AL169" s="115" t="str">
        <f t="shared" si="60"/>
        <v/>
      </c>
      <c r="AM169" s="115" t="str">
        <f t="shared" si="61"/>
        <v/>
      </c>
      <c r="AN169" s="115" t="str">
        <f t="shared" si="62"/>
        <v/>
      </c>
      <c r="AO169" s="3"/>
      <c r="AP169" s="3"/>
      <c r="AQ169" s="3"/>
      <c r="AR169" s="3"/>
      <c r="AS169" s="3"/>
      <c r="AT169" s="3"/>
      <c r="AU169" s="3"/>
      <c r="AZ169" s="1"/>
      <c r="BA169" s="1"/>
      <c r="BB169" s="1"/>
      <c r="BC169" s="1"/>
      <c r="BD169" s="1"/>
      <c r="BE169" s="1"/>
      <c r="BF169" s="1"/>
    </row>
    <row r="170" spans="1:58">
      <c r="A170" s="109">
        <v>46</v>
      </c>
      <c r="B170" s="114" t="str">
        <f>VLOOKUP(A170,P_DIS!$B$32:$Q$263,12)</f>
        <v>-</v>
      </c>
      <c r="C170" s="114" t="str">
        <f>VLOOKUP(A170,P_DIS!$B$32:$Q$263,13)</f>
        <v>-</v>
      </c>
      <c r="D170" s="114" t="str">
        <f>VLOOKUP(A170,P_DIS!$B$32:$Q$263,15)</f>
        <v>-</v>
      </c>
      <c r="E170" s="114" t="str">
        <f>VLOOKUP(A170,P_DIS!$B$32:$Q$263,14)</f>
        <v>-</v>
      </c>
      <c r="F170" s="114">
        <f>VLOOKUP(A170,P_DIS!$B$32:$Q$263,10)</f>
        <v>0</v>
      </c>
      <c r="G170" s="114" t="str">
        <f>VLOOKUP(A170,P_DIS!$B$32:$Q$263,11)</f>
        <v>-</v>
      </c>
      <c r="H170" s="114" t="str">
        <f>VLOOKUP(A170,P_DIS!$B$32:$Q$263,16)</f>
        <v>-</v>
      </c>
      <c r="I170" s="115" t="str">
        <f t="shared" si="40"/>
        <v/>
      </c>
      <c r="J170" s="116" t="str">
        <f t="shared" si="41"/>
        <v/>
      </c>
      <c r="K170" s="117" t="str">
        <f t="shared" si="42"/>
        <v/>
      </c>
      <c r="L170" s="118" t="str">
        <f t="shared" si="43"/>
        <v/>
      </c>
      <c r="M170" s="118" t="str">
        <f t="shared" si="44"/>
        <v/>
      </c>
      <c r="N170" s="118" t="str">
        <f t="shared" si="45"/>
        <v/>
      </c>
      <c r="O170" s="118" t="str">
        <f t="shared" si="46"/>
        <v/>
      </c>
      <c r="P170" s="118" t="str">
        <f t="shared" si="47"/>
        <v/>
      </c>
      <c r="Q170" s="118" t="str">
        <f t="shared" si="48"/>
        <v/>
      </c>
      <c r="R170" s="118" t="str">
        <f t="shared" si="49"/>
        <v/>
      </c>
      <c r="S170" s="118" t="str">
        <f t="shared" si="50"/>
        <v/>
      </c>
      <c r="T170" s="119" t="str">
        <f t="shared" si="33"/>
        <v/>
      </c>
      <c r="U170" s="119" t="str">
        <f t="shared" si="34"/>
        <v/>
      </c>
      <c r="V170" s="120" t="str">
        <f t="shared" si="35"/>
        <v/>
      </c>
      <c r="W170" s="120" t="str">
        <f t="shared" si="36"/>
        <v/>
      </c>
      <c r="X170" s="120" t="str">
        <f t="shared" si="63"/>
        <v/>
      </c>
      <c r="Y170" s="121" t="str">
        <f t="shared" si="64"/>
        <v/>
      </c>
      <c r="Z170" s="121" t="str">
        <f t="shared" si="65"/>
        <v/>
      </c>
      <c r="AA170" s="122">
        <v>1</v>
      </c>
      <c r="AB170" s="123">
        <v>1</v>
      </c>
      <c r="AC170" s="123" t="str">
        <f t="shared" si="51"/>
        <v/>
      </c>
      <c r="AD170" s="123" t="str">
        <f t="shared" si="52"/>
        <v/>
      </c>
      <c r="AE170" s="123" t="str">
        <f t="shared" si="53"/>
        <v/>
      </c>
      <c r="AF170" s="123" t="str">
        <f t="shared" si="54"/>
        <v/>
      </c>
      <c r="AG170" s="123" t="str">
        <f t="shared" si="55"/>
        <v/>
      </c>
      <c r="AH170" s="115" t="str">
        <f t="shared" si="56"/>
        <v/>
      </c>
      <c r="AI170" s="115" t="str">
        <f t="shared" si="57"/>
        <v/>
      </c>
      <c r="AJ170" s="115" t="str">
        <f t="shared" si="58"/>
        <v/>
      </c>
      <c r="AK170" s="115" t="str">
        <f t="shared" si="59"/>
        <v/>
      </c>
      <c r="AL170" s="115" t="str">
        <f t="shared" si="60"/>
        <v/>
      </c>
      <c r="AM170" s="115" t="str">
        <f t="shared" si="61"/>
        <v/>
      </c>
      <c r="AN170" s="115" t="str">
        <f t="shared" si="62"/>
        <v/>
      </c>
      <c r="AO170" s="3"/>
      <c r="AP170" s="3"/>
      <c r="AQ170" s="3"/>
      <c r="AR170" s="3"/>
      <c r="AS170" s="3"/>
      <c r="AT170" s="3"/>
      <c r="AU170" s="3"/>
      <c r="AZ170" s="1"/>
      <c r="BA170" s="1"/>
      <c r="BB170" s="1"/>
      <c r="BC170" s="1"/>
      <c r="BD170" s="1"/>
      <c r="BE170" s="1"/>
      <c r="BF170" s="1"/>
    </row>
    <row r="171" spans="1:58">
      <c r="A171" s="109">
        <v>47</v>
      </c>
      <c r="B171" s="114" t="str">
        <f>VLOOKUP(A171,P_DIS!$B$32:$Q$263,12)</f>
        <v>-</v>
      </c>
      <c r="C171" s="114" t="str">
        <f>VLOOKUP(A171,P_DIS!$B$32:$Q$263,13)</f>
        <v>-</v>
      </c>
      <c r="D171" s="114" t="str">
        <f>VLOOKUP(A171,P_DIS!$B$32:$Q$263,15)</f>
        <v>-</v>
      </c>
      <c r="E171" s="114" t="str">
        <f>VLOOKUP(A171,P_DIS!$B$32:$Q$263,14)</f>
        <v>-</v>
      </c>
      <c r="F171" s="114">
        <f>VLOOKUP(A171,P_DIS!$B$32:$Q$263,10)</f>
        <v>0</v>
      </c>
      <c r="G171" s="114" t="str">
        <f>VLOOKUP(A171,P_DIS!$B$32:$Q$263,11)</f>
        <v>-</v>
      </c>
      <c r="H171" s="114" t="str">
        <f>VLOOKUP(A171,P_DIS!$B$32:$Q$263,16)</f>
        <v>-</v>
      </c>
      <c r="I171" s="115" t="str">
        <f t="shared" si="40"/>
        <v/>
      </c>
      <c r="J171" s="116" t="str">
        <f t="shared" si="41"/>
        <v/>
      </c>
      <c r="K171" s="117" t="str">
        <f t="shared" si="42"/>
        <v/>
      </c>
      <c r="L171" s="118" t="str">
        <f t="shared" si="43"/>
        <v/>
      </c>
      <c r="M171" s="118" t="str">
        <f t="shared" si="44"/>
        <v/>
      </c>
      <c r="N171" s="118" t="str">
        <f t="shared" si="45"/>
        <v/>
      </c>
      <c r="O171" s="118" t="str">
        <f t="shared" si="46"/>
        <v/>
      </c>
      <c r="P171" s="118" t="str">
        <f t="shared" si="47"/>
        <v/>
      </c>
      <c r="Q171" s="118" t="str">
        <f t="shared" si="48"/>
        <v/>
      </c>
      <c r="R171" s="118" t="str">
        <f t="shared" si="49"/>
        <v/>
      </c>
      <c r="S171" s="118" t="str">
        <f t="shared" si="50"/>
        <v/>
      </c>
      <c r="T171" s="119" t="str">
        <f t="shared" si="33"/>
        <v/>
      </c>
      <c r="U171" s="119" t="str">
        <f t="shared" si="34"/>
        <v/>
      </c>
      <c r="V171" s="120" t="str">
        <f t="shared" si="35"/>
        <v/>
      </c>
      <c r="W171" s="120" t="str">
        <f t="shared" si="36"/>
        <v/>
      </c>
      <c r="X171" s="120" t="str">
        <f t="shared" si="63"/>
        <v/>
      </c>
      <c r="Y171" s="121" t="str">
        <f t="shared" si="64"/>
        <v/>
      </c>
      <c r="Z171" s="121" t="str">
        <f t="shared" si="65"/>
        <v/>
      </c>
      <c r="AA171" s="122">
        <v>1</v>
      </c>
      <c r="AB171" s="123">
        <v>1</v>
      </c>
      <c r="AC171" s="123" t="str">
        <f t="shared" si="51"/>
        <v/>
      </c>
      <c r="AD171" s="123" t="str">
        <f t="shared" si="52"/>
        <v/>
      </c>
      <c r="AE171" s="123" t="str">
        <f t="shared" si="53"/>
        <v/>
      </c>
      <c r="AF171" s="123" t="str">
        <f t="shared" si="54"/>
        <v/>
      </c>
      <c r="AG171" s="123" t="str">
        <f t="shared" si="55"/>
        <v/>
      </c>
      <c r="AH171" s="115" t="str">
        <f t="shared" si="56"/>
        <v/>
      </c>
      <c r="AI171" s="115" t="str">
        <f t="shared" si="57"/>
        <v/>
      </c>
      <c r="AJ171" s="115" t="str">
        <f t="shared" si="58"/>
        <v/>
      </c>
      <c r="AK171" s="115" t="str">
        <f t="shared" si="59"/>
        <v/>
      </c>
      <c r="AL171" s="115" t="str">
        <f t="shared" si="60"/>
        <v/>
      </c>
      <c r="AM171" s="115" t="str">
        <f t="shared" si="61"/>
        <v/>
      </c>
      <c r="AN171" s="115" t="str">
        <f t="shared" si="62"/>
        <v/>
      </c>
      <c r="AO171" s="3"/>
      <c r="AP171" s="3"/>
      <c r="AQ171" s="3"/>
      <c r="AR171" s="3"/>
      <c r="AS171" s="3"/>
      <c r="AT171" s="3"/>
      <c r="AU171" s="3"/>
      <c r="AZ171" s="1"/>
      <c r="BA171" s="1"/>
      <c r="BB171" s="1"/>
      <c r="BC171" s="1"/>
      <c r="BD171" s="1"/>
      <c r="BE171" s="1"/>
      <c r="BF171" s="1"/>
    </row>
    <row r="172" spans="1:58">
      <c r="A172" s="109">
        <v>48</v>
      </c>
      <c r="B172" s="114" t="str">
        <f>VLOOKUP(A172,P_DIS!$B$32:$Q$263,12)</f>
        <v>-</v>
      </c>
      <c r="C172" s="114" t="str">
        <f>VLOOKUP(A172,P_DIS!$B$32:$Q$263,13)</f>
        <v>-</v>
      </c>
      <c r="D172" s="114" t="str">
        <f>VLOOKUP(A172,P_DIS!$B$32:$Q$263,15)</f>
        <v>-</v>
      </c>
      <c r="E172" s="114" t="str">
        <f>VLOOKUP(A172,P_DIS!$B$32:$Q$263,14)</f>
        <v>-</v>
      </c>
      <c r="F172" s="114">
        <f>VLOOKUP(A172,P_DIS!$B$32:$Q$263,10)</f>
        <v>0</v>
      </c>
      <c r="G172" s="114" t="str">
        <f>VLOOKUP(A172,P_DIS!$B$32:$Q$263,11)</f>
        <v>-</v>
      </c>
      <c r="H172" s="114" t="str">
        <f>VLOOKUP(A172,P_DIS!$B$32:$Q$263,16)</f>
        <v>-</v>
      </c>
      <c r="I172" s="115" t="str">
        <f t="shared" si="40"/>
        <v/>
      </c>
      <c r="J172" s="116" t="str">
        <f t="shared" si="41"/>
        <v/>
      </c>
      <c r="K172" s="117" t="str">
        <f t="shared" si="42"/>
        <v/>
      </c>
      <c r="L172" s="118" t="str">
        <f t="shared" si="43"/>
        <v/>
      </c>
      <c r="M172" s="118" t="str">
        <f t="shared" si="44"/>
        <v/>
      </c>
      <c r="N172" s="118" t="str">
        <f t="shared" si="45"/>
        <v/>
      </c>
      <c r="O172" s="118" t="str">
        <f t="shared" si="46"/>
        <v/>
      </c>
      <c r="P172" s="118" t="str">
        <f t="shared" si="47"/>
        <v/>
      </c>
      <c r="Q172" s="118" t="str">
        <f t="shared" si="48"/>
        <v/>
      </c>
      <c r="R172" s="118" t="str">
        <f t="shared" si="49"/>
        <v/>
      </c>
      <c r="S172" s="118" t="str">
        <f t="shared" si="50"/>
        <v/>
      </c>
      <c r="T172" s="119" t="str">
        <f t="shared" si="33"/>
        <v/>
      </c>
      <c r="U172" s="119" t="str">
        <f t="shared" si="34"/>
        <v/>
      </c>
      <c r="V172" s="120" t="str">
        <f t="shared" si="35"/>
        <v/>
      </c>
      <c r="W172" s="120" t="str">
        <f t="shared" si="36"/>
        <v/>
      </c>
      <c r="X172" s="120" t="str">
        <f t="shared" si="63"/>
        <v/>
      </c>
      <c r="Y172" s="121" t="str">
        <f t="shared" si="64"/>
        <v/>
      </c>
      <c r="Z172" s="121" t="str">
        <f t="shared" si="65"/>
        <v/>
      </c>
      <c r="AA172" s="122">
        <v>1</v>
      </c>
      <c r="AB172" s="123">
        <v>1</v>
      </c>
      <c r="AC172" s="123" t="str">
        <f t="shared" si="51"/>
        <v/>
      </c>
      <c r="AD172" s="123" t="str">
        <f t="shared" si="52"/>
        <v/>
      </c>
      <c r="AE172" s="123" t="str">
        <f t="shared" si="53"/>
        <v/>
      </c>
      <c r="AF172" s="123" t="str">
        <f t="shared" si="54"/>
        <v/>
      </c>
      <c r="AG172" s="123" t="str">
        <f t="shared" si="55"/>
        <v/>
      </c>
      <c r="AH172" s="115" t="str">
        <f t="shared" si="56"/>
        <v/>
      </c>
      <c r="AI172" s="115" t="str">
        <f t="shared" si="57"/>
        <v/>
      </c>
      <c r="AJ172" s="115" t="str">
        <f t="shared" si="58"/>
        <v/>
      </c>
      <c r="AK172" s="115" t="str">
        <f t="shared" si="59"/>
        <v/>
      </c>
      <c r="AL172" s="115" t="str">
        <f t="shared" si="60"/>
        <v/>
      </c>
      <c r="AM172" s="115" t="str">
        <f t="shared" si="61"/>
        <v/>
      </c>
      <c r="AN172" s="115" t="str">
        <f t="shared" si="62"/>
        <v/>
      </c>
      <c r="AO172" s="3"/>
      <c r="AP172" s="3"/>
      <c r="AQ172" s="3"/>
      <c r="AR172" s="3"/>
      <c r="AS172" s="3"/>
      <c r="AT172" s="3"/>
      <c r="AU172" s="3"/>
      <c r="AZ172" s="1"/>
      <c r="BA172" s="1"/>
      <c r="BB172" s="1"/>
      <c r="BC172" s="1"/>
      <c r="BD172" s="1"/>
      <c r="BE172" s="1"/>
      <c r="BF172" s="1"/>
    </row>
    <row r="173" spans="1:58">
      <c r="A173" s="109">
        <v>49</v>
      </c>
      <c r="B173" s="114" t="str">
        <f>VLOOKUP(A173,P_DIS!$B$32:$Q$263,12)</f>
        <v>-</v>
      </c>
      <c r="C173" s="114" t="str">
        <f>VLOOKUP(A173,P_DIS!$B$32:$Q$263,13)</f>
        <v>-</v>
      </c>
      <c r="D173" s="114" t="str">
        <f>VLOOKUP(A173,P_DIS!$B$32:$Q$263,15)</f>
        <v>-</v>
      </c>
      <c r="E173" s="114" t="str">
        <f>VLOOKUP(A173,P_DIS!$B$32:$Q$263,14)</f>
        <v>-</v>
      </c>
      <c r="F173" s="114">
        <f>VLOOKUP(A173,P_DIS!$B$32:$Q$263,10)</f>
        <v>0</v>
      </c>
      <c r="G173" s="114" t="str">
        <f>VLOOKUP(A173,P_DIS!$B$32:$Q$263,11)</f>
        <v>-</v>
      </c>
      <c r="H173" s="114" t="str">
        <f>VLOOKUP(A173,P_DIS!$B$32:$Q$263,16)</f>
        <v>-</v>
      </c>
      <c r="I173" s="115" t="str">
        <f t="shared" si="40"/>
        <v/>
      </c>
      <c r="J173" s="116" t="str">
        <f t="shared" si="41"/>
        <v/>
      </c>
      <c r="K173" s="117" t="str">
        <f t="shared" si="42"/>
        <v/>
      </c>
      <c r="L173" s="118" t="str">
        <f t="shared" si="43"/>
        <v/>
      </c>
      <c r="M173" s="118" t="str">
        <f t="shared" si="44"/>
        <v/>
      </c>
      <c r="N173" s="118" t="str">
        <f t="shared" si="45"/>
        <v/>
      </c>
      <c r="O173" s="118" t="str">
        <f t="shared" si="46"/>
        <v/>
      </c>
      <c r="P173" s="118" t="str">
        <f t="shared" si="47"/>
        <v/>
      </c>
      <c r="Q173" s="118" t="str">
        <f t="shared" si="48"/>
        <v/>
      </c>
      <c r="R173" s="118" t="str">
        <f t="shared" si="49"/>
        <v/>
      </c>
      <c r="S173" s="118" t="str">
        <f t="shared" si="50"/>
        <v/>
      </c>
      <c r="T173" s="119" t="str">
        <f t="shared" si="33"/>
        <v/>
      </c>
      <c r="U173" s="119" t="str">
        <f t="shared" si="34"/>
        <v/>
      </c>
      <c r="V173" s="120" t="str">
        <f t="shared" si="35"/>
        <v/>
      </c>
      <c r="W173" s="120" t="str">
        <f t="shared" si="36"/>
        <v/>
      </c>
      <c r="X173" s="120" t="str">
        <f t="shared" si="63"/>
        <v/>
      </c>
      <c r="Y173" s="121" t="str">
        <f t="shared" si="64"/>
        <v/>
      </c>
      <c r="Z173" s="121" t="str">
        <f t="shared" si="65"/>
        <v/>
      </c>
      <c r="AA173" s="122">
        <v>1</v>
      </c>
      <c r="AB173" s="123">
        <v>1</v>
      </c>
      <c r="AC173" s="123" t="str">
        <f t="shared" si="51"/>
        <v/>
      </c>
      <c r="AD173" s="123" t="str">
        <f t="shared" si="52"/>
        <v/>
      </c>
      <c r="AE173" s="123" t="str">
        <f t="shared" si="53"/>
        <v/>
      </c>
      <c r="AF173" s="123" t="str">
        <f t="shared" si="54"/>
        <v/>
      </c>
      <c r="AG173" s="123" t="str">
        <f t="shared" si="55"/>
        <v/>
      </c>
      <c r="AH173" s="115" t="str">
        <f t="shared" si="56"/>
        <v/>
      </c>
      <c r="AI173" s="115" t="str">
        <f t="shared" si="57"/>
        <v/>
      </c>
      <c r="AJ173" s="115" t="str">
        <f t="shared" si="58"/>
        <v/>
      </c>
      <c r="AK173" s="115" t="str">
        <f t="shared" si="59"/>
        <v/>
      </c>
      <c r="AL173" s="115" t="str">
        <f t="shared" si="60"/>
        <v/>
      </c>
      <c r="AM173" s="115" t="str">
        <f t="shared" si="61"/>
        <v/>
      </c>
      <c r="AN173" s="115" t="str">
        <f t="shared" si="62"/>
        <v/>
      </c>
      <c r="AO173" s="3"/>
      <c r="AP173" s="3"/>
      <c r="AQ173" s="3"/>
      <c r="AR173" s="3"/>
      <c r="AS173" s="3"/>
      <c r="AT173" s="3"/>
      <c r="AU173" s="3"/>
      <c r="AZ173" s="1"/>
      <c r="BA173" s="1"/>
      <c r="BB173" s="1"/>
      <c r="BC173" s="1"/>
      <c r="BD173" s="1"/>
      <c r="BE173" s="1"/>
      <c r="BF173" s="1"/>
    </row>
    <row r="174" spans="1:58">
      <c r="A174" s="109">
        <v>50</v>
      </c>
      <c r="B174" s="114" t="str">
        <f>VLOOKUP(A174,P_DIS!$B$32:$Q$263,12)</f>
        <v>-</v>
      </c>
      <c r="C174" s="114" t="str">
        <f>VLOOKUP(A174,P_DIS!$B$32:$Q$263,13)</f>
        <v>-</v>
      </c>
      <c r="D174" s="114" t="str">
        <f>VLOOKUP(A174,P_DIS!$B$32:$Q$263,15)</f>
        <v>-</v>
      </c>
      <c r="E174" s="114" t="str">
        <f>VLOOKUP(A174,P_DIS!$B$32:$Q$263,14)</f>
        <v>-</v>
      </c>
      <c r="F174" s="114">
        <f>VLOOKUP(A174,P_DIS!$B$32:$Q$263,10)</f>
        <v>0</v>
      </c>
      <c r="G174" s="114" t="str">
        <f>VLOOKUP(A174,P_DIS!$B$32:$Q$263,11)</f>
        <v>-</v>
      </c>
      <c r="H174" s="114" t="str">
        <f>VLOOKUP(A174,P_DIS!$B$32:$Q$263,16)</f>
        <v>-</v>
      </c>
      <c r="I174" s="115" t="str">
        <f t="shared" si="40"/>
        <v/>
      </c>
      <c r="J174" s="116" t="str">
        <f t="shared" si="41"/>
        <v/>
      </c>
      <c r="K174" s="117" t="str">
        <f t="shared" si="42"/>
        <v/>
      </c>
      <c r="L174" s="118" t="str">
        <f t="shared" si="43"/>
        <v/>
      </c>
      <c r="M174" s="118" t="str">
        <f t="shared" si="44"/>
        <v/>
      </c>
      <c r="N174" s="118" t="str">
        <f t="shared" si="45"/>
        <v/>
      </c>
      <c r="O174" s="118" t="str">
        <f t="shared" si="46"/>
        <v/>
      </c>
      <c r="P174" s="118" t="str">
        <f t="shared" si="47"/>
        <v/>
      </c>
      <c r="Q174" s="118" t="str">
        <f t="shared" si="48"/>
        <v/>
      </c>
      <c r="R174" s="118" t="str">
        <f t="shared" si="49"/>
        <v/>
      </c>
      <c r="S174" s="118" t="str">
        <f t="shared" si="50"/>
        <v/>
      </c>
      <c r="T174" s="119" t="str">
        <f t="shared" si="33"/>
        <v/>
      </c>
      <c r="U174" s="119" t="str">
        <f t="shared" si="34"/>
        <v/>
      </c>
      <c r="V174" s="120" t="str">
        <f t="shared" si="35"/>
        <v/>
      </c>
      <c r="W174" s="120" t="str">
        <f t="shared" si="36"/>
        <v/>
      </c>
      <c r="X174" s="120" t="str">
        <f t="shared" si="63"/>
        <v/>
      </c>
      <c r="Y174" s="121" t="str">
        <f t="shared" si="64"/>
        <v/>
      </c>
      <c r="Z174" s="121" t="str">
        <f t="shared" si="65"/>
        <v/>
      </c>
      <c r="AA174" s="122">
        <v>1</v>
      </c>
      <c r="AB174" s="123">
        <v>1</v>
      </c>
      <c r="AC174" s="123" t="str">
        <f t="shared" si="51"/>
        <v/>
      </c>
      <c r="AD174" s="123" t="str">
        <f t="shared" si="52"/>
        <v/>
      </c>
      <c r="AE174" s="123" t="str">
        <f t="shared" si="53"/>
        <v/>
      </c>
      <c r="AF174" s="123" t="str">
        <f t="shared" si="54"/>
        <v/>
      </c>
      <c r="AG174" s="123" t="str">
        <f t="shared" si="55"/>
        <v/>
      </c>
      <c r="AH174" s="115" t="str">
        <f t="shared" si="56"/>
        <v/>
      </c>
      <c r="AI174" s="115" t="str">
        <f t="shared" si="57"/>
        <v/>
      </c>
      <c r="AJ174" s="115" t="str">
        <f t="shared" si="58"/>
        <v/>
      </c>
      <c r="AK174" s="115" t="str">
        <f t="shared" si="59"/>
        <v/>
      </c>
      <c r="AL174" s="115" t="str">
        <f t="shared" si="60"/>
        <v/>
      </c>
      <c r="AM174" s="115" t="str">
        <f t="shared" si="61"/>
        <v/>
      </c>
      <c r="AN174" s="115" t="str">
        <f t="shared" si="62"/>
        <v/>
      </c>
      <c r="AO174" s="3"/>
      <c r="AP174" s="3"/>
      <c r="AQ174" s="3"/>
      <c r="AR174" s="3"/>
      <c r="AS174" s="3"/>
      <c r="AT174" s="3"/>
      <c r="AU174" s="3"/>
      <c r="AZ174" s="1"/>
      <c r="BA174" s="1"/>
      <c r="BB174" s="1"/>
      <c r="BC174" s="1"/>
      <c r="BD174" s="1"/>
      <c r="BE174" s="1"/>
      <c r="BF174" s="1"/>
    </row>
    <row r="175" spans="1:58">
      <c r="A175" s="109">
        <v>51</v>
      </c>
      <c r="B175" s="114" t="str">
        <f>VLOOKUP(A175,P_DIS!$B$32:$Q$263,12)</f>
        <v>-</v>
      </c>
      <c r="C175" s="114" t="str">
        <f>VLOOKUP(A175,P_DIS!$B$32:$Q$263,13)</f>
        <v>-</v>
      </c>
      <c r="D175" s="114" t="str">
        <f>VLOOKUP(A175,P_DIS!$B$32:$Q$263,15)</f>
        <v>-</v>
      </c>
      <c r="E175" s="114" t="str">
        <f>VLOOKUP(A175,P_DIS!$B$32:$Q$263,14)</f>
        <v>-</v>
      </c>
      <c r="F175" s="114">
        <f>VLOOKUP(A175,P_DIS!$B$32:$Q$263,10)</f>
        <v>0</v>
      </c>
      <c r="G175" s="114" t="str">
        <f>VLOOKUP(A175,P_DIS!$B$32:$Q$263,11)</f>
        <v>-</v>
      </c>
      <c r="H175" s="114" t="str">
        <f>VLOOKUP(A175,P_DIS!$B$32:$Q$263,16)</f>
        <v>-</v>
      </c>
      <c r="I175" s="115" t="str">
        <f t="shared" si="40"/>
        <v/>
      </c>
      <c r="J175" s="116" t="str">
        <f t="shared" si="41"/>
        <v/>
      </c>
      <c r="K175" s="117" t="str">
        <f t="shared" si="42"/>
        <v/>
      </c>
      <c r="L175" s="118" t="str">
        <f t="shared" si="43"/>
        <v/>
      </c>
      <c r="M175" s="118" t="str">
        <f t="shared" si="44"/>
        <v/>
      </c>
      <c r="N175" s="118" t="str">
        <f t="shared" si="45"/>
        <v/>
      </c>
      <c r="O175" s="118" t="str">
        <f t="shared" si="46"/>
        <v/>
      </c>
      <c r="P175" s="118" t="str">
        <f t="shared" si="47"/>
        <v/>
      </c>
      <c r="Q175" s="118" t="str">
        <f t="shared" si="48"/>
        <v/>
      </c>
      <c r="R175" s="118" t="str">
        <f t="shared" si="49"/>
        <v/>
      </c>
      <c r="S175" s="118" t="str">
        <f t="shared" si="50"/>
        <v/>
      </c>
      <c r="T175" s="119" t="str">
        <f t="shared" si="33"/>
        <v/>
      </c>
      <c r="U175" s="119" t="str">
        <f t="shared" si="34"/>
        <v/>
      </c>
      <c r="V175" s="120" t="str">
        <f t="shared" si="35"/>
        <v/>
      </c>
      <c r="W175" s="120" t="str">
        <f t="shared" si="36"/>
        <v/>
      </c>
      <c r="X175" s="120" t="str">
        <f t="shared" si="63"/>
        <v/>
      </c>
      <c r="Y175" s="121" t="str">
        <f t="shared" si="64"/>
        <v/>
      </c>
      <c r="Z175" s="121" t="str">
        <f t="shared" si="65"/>
        <v/>
      </c>
      <c r="AA175" s="122">
        <v>1</v>
      </c>
      <c r="AB175" s="123">
        <v>1</v>
      </c>
      <c r="AC175" s="123" t="str">
        <f t="shared" si="51"/>
        <v/>
      </c>
      <c r="AD175" s="123" t="str">
        <f t="shared" si="52"/>
        <v/>
      </c>
      <c r="AE175" s="123" t="str">
        <f t="shared" si="53"/>
        <v/>
      </c>
      <c r="AF175" s="123" t="str">
        <f t="shared" si="54"/>
        <v/>
      </c>
      <c r="AG175" s="123" t="str">
        <f t="shared" si="55"/>
        <v/>
      </c>
      <c r="AH175" s="115" t="str">
        <f t="shared" si="56"/>
        <v/>
      </c>
      <c r="AI175" s="115" t="str">
        <f t="shared" si="57"/>
        <v/>
      </c>
      <c r="AJ175" s="115" t="str">
        <f t="shared" si="58"/>
        <v/>
      </c>
      <c r="AK175" s="115" t="str">
        <f t="shared" si="59"/>
        <v/>
      </c>
      <c r="AL175" s="115" t="str">
        <f t="shared" si="60"/>
        <v/>
      </c>
      <c r="AM175" s="115" t="str">
        <f t="shared" si="61"/>
        <v/>
      </c>
      <c r="AN175" s="115" t="str">
        <f t="shared" si="62"/>
        <v/>
      </c>
      <c r="AO175" s="3"/>
      <c r="AP175" s="3"/>
      <c r="AQ175" s="3"/>
      <c r="AR175" s="3"/>
      <c r="AS175" s="3"/>
      <c r="AT175" s="3"/>
      <c r="AU175" s="3"/>
      <c r="AZ175" s="1"/>
      <c r="BA175" s="1"/>
      <c r="BB175" s="1"/>
      <c r="BC175" s="1"/>
      <c r="BD175" s="1"/>
      <c r="BE175" s="1"/>
      <c r="BF175" s="1"/>
    </row>
    <row r="176" spans="1:58">
      <c r="A176" s="109">
        <v>52</v>
      </c>
      <c r="B176" s="114" t="str">
        <f>VLOOKUP(A176,P_DIS!$B$32:$Q$263,12)</f>
        <v>-</v>
      </c>
      <c r="C176" s="114" t="str">
        <f>VLOOKUP(A176,P_DIS!$B$32:$Q$263,13)</f>
        <v>-</v>
      </c>
      <c r="D176" s="114" t="str">
        <f>VLOOKUP(A176,P_DIS!$B$32:$Q$263,15)</f>
        <v>-</v>
      </c>
      <c r="E176" s="114" t="str">
        <f>VLOOKUP(A176,P_DIS!$B$32:$Q$263,14)</f>
        <v>-</v>
      </c>
      <c r="F176" s="114">
        <f>VLOOKUP(A176,P_DIS!$B$32:$Q$263,10)</f>
        <v>0</v>
      </c>
      <c r="G176" s="114" t="str">
        <f>VLOOKUP(A176,P_DIS!$B$32:$Q$263,11)</f>
        <v>-</v>
      </c>
      <c r="H176" s="114" t="str">
        <f>VLOOKUP(A176,P_DIS!$B$32:$Q$263,16)</f>
        <v>-</v>
      </c>
      <c r="I176" s="115" t="str">
        <f t="shared" si="40"/>
        <v/>
      </c>
      <c r="J176" s="116" t="str">
        <f t="shared" si="41"/>
        <v/>
      </c>
      <c r="K176" s="117" t="str">
        <f t="shared" si="42"/>
        <v/>
      </c>
      <c r="L176" s="118" t="str">
        <f t="shared" si="43"/>
        <v/>
      </c>
      <c r="M176" s="118" t="str">
        <f t="shared" si="44"/>
        <v/>
      </c>
      <c r="N176" s="118" t="str">
        <f t="shared" si="45"/>
        <v/>
      </c>
      <c r="O176" s="118" t="str">
        <f t="shared" si="46"/>
        <v/>
      </c>
      <c r="P176" s="118" t="str">
        <f t="shared" si="47"/>
        <v/>
      </c>
      <c r="Q176" s="118" t="str">
        <f t="shared" si="48"/>
        <v/>
      </c>
      <c r="R176" s="118" t="str">
        <f t="shared" si="49"/>
        <v/>
      </c>
      <c r="S176" s="118" t="str">
        <f t="shared" si="50"/>
        <v/>
      </c>
      <c r="T176" s="119" t="str">
        <f t="shared" si="33"/>
        <v/>
      </c>
      <c r="U176" s="119" t="str">
        <f t="shared" si="34"/>
        <v/>
      </c>
      <c r="V176" s="120" t="str">
        <f t="shared" si="35"/>
        <v/>
      </c>
      <c r="W176" s="120" t="str">
        <f t="shared" si="36"/>
        <v/>
      </c>
      <c r="X176" s="120" t="str">
        <f t="shared" si="63"/>
        <v/>
      </c>
      <c r="Y176" s="121" t="str">
        <f t="shared" si="64"/>
        <v/>
      </c>
      <c r="Z176" s="121" t="str">
        <f t="shared" si="65"/>
        <v/>
      </c>
      <c r="AA176" s="122">
        <v>1</v>
      </c>
      <c r="AB176" s="123">
        <v>1</v>
      </c>
      <c r="AC176" s="123" t="str">
        <f t="shared" si="51"/>
        <v/>
      </c>
      <c r="AD176" s="123" t="str">
        <f t="shared" si="52"/>
        <v/>
      </c>
      <c r="AE176" s="123" t="str">
        <f t="shared" si="53"/>
        <v/>
      </c>
      <c r="AF176" s="123" t="str">
        <f t="shared" si="54"/>
        <v/>
      </c>
      <c r="AG176" s="123" t="str">
        <f t="shared" si="55"/>
        <v/>
      </c>
      <c r="AH176" s="115" t="str">
        <f t="shared" si="56"/>
        <v/>
      </c>
      <c r="AI176" s="115" t="str">
        <f t="shared" si="57"/>
        <v/>
      </c>
      <c r="AJ176" s="115" t="str">
        <f t="shared" si="58"/>
        <v/>
      </c>
      <c r="AK176" s="115" t="str">
        <f t="shared" si="59"/>
        <v/>
      </c>
      <c r="AL176" s="115" t="str">
        <f t="shared" si="60"/>
        <v/>
      </c>
      <c r="AM176" s="115" t="str">
        <f t="shared" si="61"/>
        <v/>
      </c>
      <c r="AN176" s="115" t="str">
        <f t="shared" si="62"/>
        <v/>
      </c>
      <c r="AO176" s="3"/>
      <c r="AP176" s="3"/>
      <c r="AQ176" s="3"/>
      <c r="AR176" s="3"/>
      <c r="AS176" s="3"/>
      <c r="AT176" s="3"/>
      <c r="AU176" s="3"/>
      <c r="AZ176" s="1"/>
      <c r="BA176" s="1"/>
      <c r="BB176" s="1"/>
      <c r="BC176" s="1"/>
      <c r="BD176" s="1"/>
      <c r="BE176" s="1"/>
      <c r="BF176" s="1"/>
    </row>
    <row r="177" spans="1:58">
      <c r="A177" s="109">
        <v>53</v>
      </c>
      <c r="B177" s="114" t="str">
        <f>VLOOKUP(A177,P_DIS!$B$32:$Q$263,12)</f>
        <v>-</v>
      </c>
      <c r="C177" s="114" t="str">
        <f>VLOOKUP(A177,P_DIS!$B$32:$Q$263,13)</f>
        <v>-</v>
      </c>
      <c r="D177" s="114" t="str">
        <f>VLOOKUP(A177,P_DIS!$B$32:$Q$263,15)</f>
        <v>-</v>
      </c>
      <c r="E177" s="114" t="str">
        <f>VLOOKUP(A177,P_DIS!$B$32:$Q$263,14)</f>
        <v>-</v>
      </c>
      <c r="F177" s="114">
        <f>VLOOKUP(A177,P_DIS!$B$32:$Q$263,10)</f>
        <v>0</v>
      </c>
      <c r="G177" s="114" t="str">
        <f>VLOOKUP(A177,P_DIS!$B$32:$Q$263,11)</f>
        <v>-</v>
      </c>
      <c r="H177" s="114" t="str">
        <f>VLOOKUP(A177,P_DIS!$B$32:$Q$263,16)</f>
        <v>-</v>
      </c>
      <c r="I177" s="115" t="str">
        <f t="shared" si="40"/>
        <v/>
      </c>
      <c r="J177" s="116" t="str">
        <f t="shared" si="41"/>
        <v/>
      </c>
      <c r="K177" s="117" t="str">
        <f t="shared" si="42"/>
        <v/>
      </c>
      <c r="L177" s="118" t="str">
        <f t="shared" si="43"/>
        <v/>
      </c>
      <c r="M177" s="118" t="str">
        <f t="shared" si="44"/>
        <v/>
      </c>
      <c r="N177" s="118" t="str">
        <f t="shared" si="45"/>
        <v/>
      </c>
      <c r="O177" s="118" t="str">
        <f t="shared" si="46"/>
        <v/>
      </c>
      <c r="P177" s="118" t="str">
        <f t="shared" si="47"/>
        <v/>
      </c>
      <c r="Q177" s="118" t="str">
        <f t="shared" si="48"/>
        <v/>
      </c>
      <c r="R177" s="118" t="str">
        <f t="shared" si="49"/>
        <v/>
      </c>
      <c r="S177" s="118" t="str">
        <f t="shared" si="50"/>
        <v/>
      </c>
      <c r="T177" s="119" t="str">
        <f t="shared" si="33"/>
        <v/>
      </c>
      <c r="U177" s="119" t="str">
        <f t="shared" si="34"/>
        <v/>
      </c>
      <c r="V177" s="120" t="str">
        <f t="shared" si="35"/>
        <v/>
      </c>
      <c r="W177" s="120" t="str">
        <f t="shared" si="36"/>
        <v/>
      </c>
      <c r="X177" s="120" t="str">
        <f t="shared" si="63"/>
        <v/>
      </c>
      <c r="Y177" s="121" t="str">
        <f t="shared" si="64"/>
        <v/>
      </c>
      <c r="Z177" s="121" t="str">
        <f t="shared" si="65"/>
        <v/>
      </c>
      <c r="AA177" s="122">
        <v>1</v>
      </c>
      <c r="AB177" s="123">
        <v>1</v>
      </c>
      <c r="AC177" s="123" t="str">
        <f t="shared" si="51"/>
        <v/>
      </c>
      <c r="AD177" s="123" t="str">
        <f t="shared" si="52"/>
        <v/>
      </c>
      <c r="AE177" s="123" t="str">
        <f t="shared" si="53"/>
        <v/>
      </c>
      <c r="AF177" s="123" t="str">
        <f t="shared" si="54"/>
        <v/>
      </c>
      <c r="AG177" s="123" t="str">
        <f t="shared" si="55"/>
        <v/>
      </c>
      <c r="AH177" s="115" t="str">
        <f t="shared" si="56"/>
        <v/>
      </c>
      <c r="AI177" s="115" t="str">
        <f t="shared" si="57"/>
        <v/>
      </c>
      <c r="AJ177" s="115" t="str">
        <f t="shared" si="58"/>
        <v/>
      </c>
      <c r="AK177" s="115" t="str">
        <f t="shared" si="59"/>
        <v/>
      </c>
      <c r="AL177" s="115" t="str">
        <f t="shared" si="60"/>
        <v/>
      </c>
      <c r="AM177" s="115" t="str">
        <f t="shared" si="61"/>
        <v/>
      </c>
      <c r="AN177" s="115" t="str">
        <f t="shared" si="62"/>
        <v/>
      </c>
      <c r="AO177" s="3"/>
      <c r="AP177" s="3"/>
      <c r="AQ177" s="3"/>
      <c r="AR177" s="3"/>
      <c r="AS177" s="3"/>
      <c r="AT177" s="3"/>
      <c r="AU177" s="3"/>
      <c r="AZ177" s="1"/>
      <c r="BA177" s="1"/>
      <c r="BB177" s="1"/>
      <c r="BC177" s="1"/>
      <c r="BD177" s="1"/>
      <c r="BE177" s="1"/>
      <c r="BF177" s="1"/>
    </row>
    <row r="178" spans="1:58">
      <c r="A178" s="109">
        <v>54</v>
      </c>
      <c r="B178" s="114" t="str">
        <f>VLOOKUP(A178,P_DIS!$B$32:$Q$263,12)</f>
        <v>-</v>
      </c>
      <c r="C178" s="114" t="str">
        <f>VLOOKUP(A178,P_DIS!$B$32:$Q$263,13)</f>
        <v>-</v>
      </c>
      <c r="D178" s="114" t="str">
        <f>VLOOKUP(A178,P_DIS!$B$32:$Q$263,15)</f>
        <v>-</v>
      </c>
      <c r="E178" s="114" t="str">
        <f>VLOOKUP(A178,P_DIS!$B$32:$Q$263,14)</f>
        <v>-</v>
      </c>
      <c r="F178" s="114">
        <f>VLOOKUP(A178,P_DIS!$B$32:$Q$263,10)</f>
        <v>0</v>
      </c>
      <c r="G178" s="114" t="str">
        <f>VLOOKUP(A178,P_DIS!$B$32:$Q$263,11)</f>
        <v>-</v>
      </c>
      <c r="H178" s="114" t="str">
        <f>VLOOKUP(A178,P_DIS!$B$32:$Q$263,16)</f>
        <v>-</v>
      </c>
      <c r="I178" s="115" t="str">
        <f t="shared" si="40"/>
        <v/>
      </c>
      <c r="J178" s="116" t="str">
        <f t="shared" si="41"/>
        <v/>
      </c>
      <c r="K178" s="117" t="str">
        <f t="shared" si="42"/>
        <v/>
      </c>
      <c r="L178" s="118" t="str">
        <f t="shared" si="43"/>
        <v/>
      </c>
      <c r="M178" s="118" t="str">
        <f t="shared" si="44"/>
        <v/>
      </c>
      <c r="N178" s="118" t="str">
        <f t="shared" si="45"/>
        <v/>
      </c>
      <c r="O178" s="118" t="str">
        <f t="shared" si="46"/>
        <v/>
      </c>
      <c r="P178" s="118" t="str">
        <f t="shared" si="47"/>
        <v/>
      </c>
      <c r="Q178" s="118" t="str">
        <f t="shared" si="48"/>
        <v/>
      </c>
      <c r="R178" s="118" t="str">
        <f t="shared" si="49"/>
        <v/>
      </c>
      <c r="S178" s="118" t="str">
        <f t="shared" si="50"/>
        <v/>
      </c>
      <c r="T178" s="119" t="str">
        <f t="shared" si="33"/>
        <v/>
      </c>
      <c r="U178" s="119" t="str">
        <f t="shared" si="34"/>
        <v/>
      </c>
      <c r="V178" s="120" t="str">
        <f t="shared" si="35"/>
        <v/>
      </c>
      <c r="W178" s="120" t="str">
        <f t="shared" si="36"/>
        <v/>
      </c>
      <c r="X178" s="120" t="str">
        <f t="shared" si="63"/>
        <v/>
      </c>
      <c r="Y178" s="121" t="str">
        <f t="shared" si="64"/>
        <v/>
      </c>
      <c r="Z178" s="121" t="str">
        <f t="shared" si="65"/>
        <v/>
      </c>
      <c r="AA178" s="122">
        <v>1</v>
      </c>
      <c r="AB178" s="123">
        <v>1</v>
      </c>
      <c r="AC178" s="123" t="str">
        <f t="shared" si="51"/>
        <v/>
      </c>
      <c r="AD178" s="123" t="str">
        <f t="shared" si="52"/>
        <v/>
      </c>
      <c r="AE178" s="123" t="str">
        <f t="shared" si="53"/>
        <v/>
      </c>
      <c r="AF178" s="123" t="str">
        <f t="shared" si="54"/>
        <v/>
      </c>
      <c r="AG178" s="123" t="str">
        <f t="shared" si="55"/>
        <v/>
      </c>
      <c r="AH178" s="115" t="str">
        <f t="shared" si="56"/>
        <v/>
      </c>
      <c r="AI178" s="115" t="str">
        <f t="shared" si="57"/>
        <v/>
      </c>
      <c r="AJ178" s="115" t="str">
        <f t="shared" si="58"/>
        <v/>
      </c>
      <c r="AK178" s="115" t="str">
        <f t="shared" si="59"/>
        <v/>
      </c>
      <c r="AL178" s="115" t="str">
        <f t="shared" si="60"/>
        <v/>
      </c>
      <c r="AM178" s="115" t="str">
        <f t="shared" si="61"/>
        <v/>
      </c>
      <c r="AN178" s="115" t="str">
        <f t="shared" si="62"/>
        <v/>
      </c>
      <c r="AO178" s="3"/>
      <c r="AP178" s="3"/>
      <c r="AQ178" s="3"/>
      <c r="AR178" s="3"/>
      <c r="AS178" s="3"/>
      <c r="AT178" s="3"/>
      <c r="AU178" s="3"/>
      <c r="AZ178" s="1"/>
      <c r="BA178" s="1"/>
      <c r="BB178" s="1"/>
      <c r="BC178" s="1"/>
      <c r="BD178" s="1"/>
      <c r="BE178" s="1"/>
      <c r="BF178" s="1"/>
    </row>
    <row r="179" spans="1:58">
      <c r="A179" s="109">
        <v>55</v>
      </c>
      <c r="B179" s="114" t="str">
        <f>VLOOKUP(A179,P_DIS!$B$32:$Q$263,12)</f>
        <v>-</v>
      </c>
      <c r="C179" s="114" t="str">
        <f>VLOOKUP(A179,P_DIS!$B$32:$Q$263,13)</f>
        <v>-</v>
      </c>
      <c r="D179" s="114" t="str">
        <f>VLOOKUP(A179,P_DIS!$B$32:$Q$263,15)</f>
        <v>-</v>
      </c>
      <c r="E179" s="114" t="str">
        <f>VLOOKUP(A179,P_DIS!$B$32:$Q$263,14)</f>
        <v>-</v>
      </c>
      <c r="F179" s="114">
        <f>VLOOKUP(A179,P_DIS!$B$32:$Q$263,10)</f>
        <v>0</v>
      </c>
      <c r="G179" s="114" t="str">
        <f>VLOOKUP(A179,P_DIS!$B$32:$Q$263,11)</f>
        <v>-</v>
      </c>
      <c r="H179" s="114" t="str">
        <f>VLOOKUP(A179,P_DIS!$B$32:$Q$263,16)</f>
        <v>-</v>
      </c>
      <c r="I179" s="115" t="str">
        <f t="shared" si="40"/>
        <v/>
      </c>
      <c r="J179" s="116" t="str">
        <f t="shared" si="41"/>
        <v/>
      </c>
      <c r="K179" s="117" t="str">
        <f t="shared" si="42"/>
        <v/>
      </c>
      <c r="L179" s="118" t="str">
        <f t="shared" si="43"/>
        <v/>
      </c>
      <c r="M179" s="118" t="str">
        <f t="shared" si="44"/>
        <v/>
      </c>
      <c r="N179" s="118" t="str">
        <f t="shared" si="45"/>
        <v/>
      </c>
      <c r="O179" s="118" t="str">
        <f t="shared" si="46"/>
        <v/>
      </c>
      <c r="P179" s="118" t="str">
        <f t="shared" si="47"/>
        <v/>
      </c>
      <c r="Q179" s="118" t="str">
        <f t="shared" si="48"/>
        <v/>
      </c>
      <c r="R179" s="118" t="str">
        <f t="shared" si="49"/>
        <v/>
      </c>
      <c r="S179" s="118" t="str">
        <f t="shared" si="50"/>
        <v/>
      </c>
      <c r="T179" s="119" t="str">
        <f t="shared" si="33"/>
        <v/>
      </c>
      <c r="U179" s="119" t="str">
        <f t="shared" si="34"/>
        <v/>
      </c>
      <c r="V179" s="120" t="str">
        <f t="shared" si="35"/>
        <v/>
      </c>
      <c r="W179" s="120" t="str">
        <f t="shared" si="36"/>
        <v/>
      </c>
      <c r="X179" s="120" t="str">
        <f t="shared" si="63"/>
        <v/>
      </c>
      <c r="Y179" s="121" t="str">
        <f t="shared" si="64"/>
        <v/>
      </c>
      <c r="Z179" s="121" t="str">
        <f t="shared" si="65"/>
        <v/>
      </c>
      <c r="AA179" s="122">
        <v>1</v>
      </c>
      <c r="AB179" s="123">
        <v>1</v>
      </c>
      <c r="AC179" s="123" t="str">
        <f t="shared" si="51"/>
        <v/>
      </c>
      <c r="AD179" s="123" t="str">
        <f t="shared" si="52"/>
        <v/>
      </c>
      <c r="AE179" s="123" t="str">
        <f t="shared" si="53"/>
        <v/>
      </c>
      <c r="AF179" s="123" t="str">
        <f t="shared" si="54"/>
        <v/>
      </c>
      <c r="AG179" s="123" t="str">
        <f t="shared" si="55"/>
        <v/>
      </c>
      <c r="AH179" s="115" t="str">
        <f t="shared" si="56"/>
        <v/>
      </c>
      <c r="AI179" s="115" t="str">
        <f t="shared" si="57"/>
        <v/>
      </c>
      <c r="AJ179" s="115" t="str">
        <f t="shared" si="58"/>
        <v/>
      </c>
      <c r="AK179" s="115" t="str">
        <f t="shared" si="59"/>
        <v/>
      </c>
      <c r="AL179" s="115" t="str">
        <f t="shared" si="60"/>
        <v/>
      </c>
      <c r="AM179" s="115" t="str">
        <f t="shared" si="61"/>
        <v/>
      </c>
      <c r="AN179" s="115" t="str">
        <f t="shared" si="62"/>
        <v/>
      </c>
      <c r="AO179" s="3"/>
      <c r="AP179" s="3"/>
      <c r="AQ179" s="3"/>
      <c r="AR179" s="3"/>
      <c r="AS179" s="3"/>
      <c r="AT179" s="3"/>
      <c r="AU179" s="3"/>
      <c r="AZ179" s="1"/>
      <c r="BA179" s="1"/>
      <c r="BB179" s="1"/>
      <c r="BC179" s="1"/>
      <c r="BD179" s="1"/>
      <c r="BE179" s="1"/>
      <c r="BF179" s="1"/>
    </row>
    <row r="180" spans="1:58">
      <c r="A180" s="109">
        <v>56</v>
      </c>
      <c r="B180" s="114" t="str">
        <f>VLOOKUP(A180,P_DIS!$B$32:$Q$263,12)</f>
        <v>-</v>
      </c>
      <c r="C180" s="114" t="str">
        <f>VLOOKUP(A180,P_DIS!$B$32:$Q$263,13)</f>
        <v>-</v>
      </c>
      <c r="D180" s="114" t="str">
        <f>VLOOKUP(A180,P_DIS!$B$32:$Q$263,15)</f>
        <v>-</v>
      </c>
      <c r="E180" s="114" t="str">
        <f>VLOOKUP(A180,P_DIS!$B$32:$Q$263,14)</f>
        <v>-</v>
      </c>
      <c r="F180" s="114">
        <f>VLOOKUP(A180,P_DIS!$B$32:$Q$263,10)</f>
        <v>0</v>
      </c>
      <c r="G180" s="114" t="str">
        <f>VLOOKUP(A180,P_DIS!$B$32:$Q$263,11)</f>
        <v>-</v>
      </c>
      <c r="H180" s="114" t="str">
        <f>VLOOKUP(A180,P_DIS!$B$32:$Q$263,16)</f>
        <v>-</v>
      </c>
      <c r="I180" s="115" t="str">
        <f t="shared" si="40"/>
        <v/>
      </c>
      <c r="J180" s="116" t="str">
        <f t="shared" si="41"/>
        <v/>
      </c>
      <c r="K180" s="117" t="str">
        <f t="shared" si="42"/>
        <v/>
      </c>
      <c r="L180" s="118" t="str">
        <f t="shared" si="43"/>
        <v/>
      </c>
      <c r="M180" s="118" t="str">
        <f t="shared" si="44"/>
        <v/>
      </c>
      <c r="N180" s="118" t="str">
        <f t="shared" si="45"/>
        <v/>
      </c>
      <c r="O180" s="118" t="str">
        <f t="shared" si="46"/>
        <v/>
      </c>
      <c r="P180" s="118" t="str">
        <f t="shared" si="47"/>
        <v/>
      </c>
      <c r="Q180" s="118" t="str">
        <f t="shared" si="48"/>
        <v/>
      </c>
      <c r="R180" s="118" t="str">
        <f t="shared" si="49"/>
        <v/>
      </c>
      <c r="S180" s="118" t="str">
        <f t="shared" si="50"/>
        <v/>
      </c>
      <c r="T180" s="119" t="str">
        <f t="shared" si="33"/>
        <v/>
      </c>
      <c r="U180" s="119" t="str">
        <f t="shared" si="34"/>
        <v/>
      </c>
      <c r="V180" s="120" t="str">
        <f t="shared" si="35"/>
        <v/>
      </c>
      <c r="W180" s="120" t="str">
        <f t="shared" si="36"/>
        <v/>
      </c>
      <c r="X180" s="120" t="str">
        <f t="shared" si="63"/>
        <v/>
      </c>
      <c r="Y180" s="121" t="str">
        <f t="shared" si="64"/>
        <v/>
      </c>
      <c r="Z180" s="121" t="str">
        <f t="shared" si="65"/>
        <v/>
      </c>
      <c r="AA180" s="122">
        <v>1</v>
      </c>
      <c r="AB180" s="123">
        <v>1</v>
      </c>
      <c r="AC180" s="123" t="str">
        <f t="shared" si="51"/>
        <v/>
      </c>
      <c r="AD180" s="123" t="str">
        <f t="shared" si="52"/>
        <v/>
      </c>
      <c r="AE180" s="123" t="str">
        <f t="shared" si="53"/>
        <v/>
      </c>
      <c r="AF180" s="123" t="str">
        <f t="shared" si="54"/>
        <v/>
      </c>
      <c r="AG180" s="123" t="str">
        <f t="shared" si="55"/>
        <v/>
      </c>
      <c r="AH180" s="115" t="str">
        <f t="shared" si="56"/>
        <v/>
      </c>
      <c r="AI180" s="115" t="str">
        <f t="shared" si="57"/>
        <v/>
      </c>
      <c r="AJ180" s="115" t="str">
        <f t="shared" si="58"/>
        <v/>
      </c>
      <c r="AK180" s="115" t="str">
        <f t="shared" si="59"/>
        <v/>
      </c>
      <c r="AL180" s="115" t="str">
        <f t="shared" si="60"/>
        <v/>
      </c>
      <c r="AM180" s="115" t="str">
        <f t="shared" si="61"/>
        <v/>
      </c>
      <c r="AN180" s="115" t="str">
        <f t="shared" si="62"/>
        <v/>
      </c>
      <c r="AO180" s="3"/>
      <c r="AP180" s="3"/>
      <c r="AQ180" s="3"/>
      <c r="AR180" s="3"/>
      <c r="AS180" s="3"/>
      <c r="AT180" s="3"/>
      <c r="AU180" s="3"/>
      <c r="AZ180" s="1"/>
      <c r="BA180" s="1"/>
      <c r="BB180" s="1"/>
      <c r="BC180" s="1"/>
      <c r="BD180" s="1"/>
      <c r="BE180" s="1"/>
      <c r="BF180" s="1"/>
    </row>
    <row r="181" spans="1:58">
      <c r="A181" s="109">
        <v>57</v>
      </c>
      <c r="B181" s="114" t="str">
        <f>VLOOKUP(A181,P_DIS!$B$32:$Q$263,12)</f>
        <v>-</v>
      </c>
      <c r="C181" s="114" t="str">
        <f>VLOOKUP(A181,P_DIS!$B$32:$Q$263,13)</f>
        <v>-</v>
      </c>
      <c r="D181" s="114" t="str">
        <f>VLOOKUP(A181,P_DIS!$B$32:$Q$263,15)</f>
        <v>-</v>
      </c>
      <c r="E181" s="114" t="str">
        <f>VLOOKUP(A181,P_DIS!$B$32:$Q$263,14)</f>
        <v>-</v>
      </c>
      <c r="F181" s="114">
        <f>VLOOKUP(A181,P_DIS!$B$32:$Q$263,10)</f>
        <v>0</v>
      </c>
      <c r="G181" s="114" t="str">
        <f>VLOOKUP(A181,P_DIS!$B$32:$Q$263,11)</f>
        <v>-</v>
      </c>
      <c r="H181" s="114" t="str">
        <f>VLOOKUP(A181,P_DIS!$B$32:$Q$263,16)</f>
        <v>-</v>
      </c>
      <c r="I181" s="115" t="str">
        <f t="shared" si="40"/>
        <v/>
      </c>
      <c r="J181" s="116" t="str">
        <f t="shared" si="41"/>
        <v/>
      </c>
      <c r="K181" s="117" t="str">
        <f t="shared" si="42"/>
        <v/>
      </c>
      <c r="L181" s="118" t="str">
        <f t="shared" si="43"/>
        <v/>
      </c>
      <c r="M181" s="118" t="str">
        <f t="shared" si="44"/>
        <v/>
      </c>
      <c r="N181" s="118" t="str">
        <f t="shared" si="45"/>
        <v/>
      </c>
      <c r="O181" s="118" t="str">
        <f t="shared" si="46"/>
        <v/>
      </c>
      <c r="P181" s="118" t="str">
        <f t="shared" si="47"/>
        <v/>
      </c>
      <c r="Q181" s="118" t="str">
        <f t="shared" si="48"/>
        <v/>
      </c>
      <c r="R181" s="118" t="str">
        <f t="shared" si="49"/>
        <v/>
      </c>
      <c r="S181" s="118" t="str">
        <f t="shared" si="50"/>
        <v/>
      </c>
      <c r="T181" s="119" t="str">
        <f t="shared" si="33"/>
        <v/>
      </c>
      <c r="U181" s="119" t="str">
        <f t="shared" si="34"/>
        <v/>
      </c>
      <c r="V181" s="120" t="str">
        <f t="shared" si="35"/>
        <v/>
      </c>
      <c r="W181" s="120" t="str">
        <f t="shared" si="36"/>
        <v/>
      </c>
      <c r="X181" s="120" t="str">
        <f t="shared" si="63"/>
        <v/>
      </c>
      <c r="Y181" s="121" t="str">
        <f t="shared" si="64"/>
        <v/>
      </c>
      <c r="Z181" s="121" t="str">
        <f t="shared" si="65"/>
        <v/>
      </c>
      <c r="AA181" s="122">
        <v>1</v>
      </c>
      <c r="AB181" s="123">
        <v>1</v>
      </c>
      <c r="AC181" s="123" t="str">
        <f t="shared" si="51"/>
        <v/>
      </c>
      <c r="AD181" s="123" t="str">
        <f t="shared" si="52"/>
        <v/>
      </c>
      <c r="AE181" s="123" t="str">
        <f t="shared" si="53"/>
        <v/>
      </c>
      <c r="AF181" s="123" t="str">
        <f t="shared" si="54"/>
        <v/>
      </c>
      <c r="AG181" s="123" t="str">
        <f t="shared" si="55"/>
        <v/>
      </c>
      <c r="AH181" s="115" t="str">
        <f t="shared" si="56"/>
        <v/>
      </c>
      <c r="AI181" s="115" t="str">
        <f t="shared" si="57"/>
        <v/>
      </c>
      <c r="AJ181" s="115" t="str">
        <f t="shared" si="58"/>
        <v/>
      </c>
      <c r="AK181" s="115" t="str">
        <f t="shared" si="59"/>
        <v/>
      </c>
      <c r="AL181" s="115" t="str">
        <f t="shared" si="60"/>
        <v/>
      </c>
      <c r="AM181" s="115" t="str">
        <f t="shared" si="61"/>
        <v/>
      </c>
      <c r="AN181" s="115" t="str">
        <f t="shared" si="62"/>
        <v/>
      </c>
      <c r="AO181" s="3"/>
      <c r="AP181" s="3"/>
      <c r="AQ181" s="3"/>
      <c r="AR181" s="3"/>
      <c r="AS181" s="3"/>
      <c r="AT181" s="3"/>
      <c r="AU181" s="3"/>
      <c r="AZ181" s="1"/>
      <c r="BA181" s="1"/>
      <c r="BB181" s="1"/>
      <c r="BC181" s="1"/>
      <c r="BD181" s="1"/>
      <c r="BE181" s="1"/>
      <c r="BF181" s="1"/>
    </row>
    <row r="182" spans="1:58">
      <c r="A182" s="109">
        <v>58</v>
      </c>
      <c r="B182" s="114" t="str">
        <f>VLOOKUP(A182,P_DIS!$B$32:$Q$263,12)</f>
        <v>-</v>
      </c>
      <c r="C182" s="114" t="str">
        <f>VLOOKUP(A182,P_DIS!$B$32:$Q$263,13)</f>
        <v>-</v>
      </c>
      <c r="D182" s="114" t="str">
        <f>VLOOKUP(A182,P_DIS!$B$32:$Q$263,15)</f>
        <v>-</v>
      </c>
      <c r="E182" s="114" t="str">
        <f>VLOOKUP(A182,P_DIS!$B$32:$Q$263,14)</f>
        <v>-</v>
      </c>
      <c r="F182" s="114">
        <f>VLOOKUP(A182,P_DIS!$B$32:$Q$263,10)</f>
        <v>0</v>
      </c>
      <c r="G182" s="114" t="str">
        <f>VLOOKUP(A182,P_DIS!$B$32:$Q$263,11)</f>
        <v>-</v>
      </c>
      <c r="H182" s="114" t="str">
        <f>VLOOKUP(A182,P_DIS!$B$32:$Q$263,16)</f>
        <v>-</v>
      </c>
      <c r="I182" s="115" t="str">
        <f t="shared" si="40"/>
        <v/>
      </c>
      <c r="J182" s="116" t="str">
        <f t="shared" si="41"/>
        <v/>
      </c>
      <c r="K182" s="117" t="str">
        <f t="shared" si="42"/>
        <v/>
      </c>
      <c r="L182" s="118" t="str">
        <f t="shared" si="43"/>
        <v/>
      </c>
      <c r="M182" s="118" t="str">
        <f t="shared" si="44"/>
        <v/>
      </c>
      <c r="N182" s="118" t="str">
        <f t="shared" si="45"/>
        <v/>
      </c>
      <c r="O182" s="118" t="str">
        <f t="shared" si="46"/>
        <v/>
      </c>
      <c r="P182" s="118" t="str">
        <f t="shared" si="47"/>
        <v/>
      </c>
      <c r="Q182" s="118" t="str">
        <f t="shared" si="48"/>
        <v/>
      </c>
      <c r="R182" s="118" t="str">
        <f t="shared" si="49"/>
        <v/>
      </c>
      <c r="S182" s="118" t="str">
        <f t="shared" si="50"/>
        <v/>
      </c>
      <c r="T182" s="119" t="str">
        <f t="shared" si="33"/>
        <v/>
      </c>
      <c r="U182" s="119" t="str">
        <f t="shared" si="34"/>
        <v/>
      </c>
      <c r="V182" s="120" t="str">
        <f t="shared" si="35"/>
        <v/>
      </c>
      <c r="W182" s="120" t="str">
        <f t="shared" si="36"/>
        <v/>
      </c>
      <c r="X182" s="120" t="str">
        <f t="shared" si="63"/>
        <v/>
      </c>
      <c r="Y182" s="121" t="str">
        <f t="shared" si="64"/>
        <v/>
      </c>
      <c r="Z182" s="121" t="str">
        <f t="shared" si="65"/>
        <v/>
      </c>
      <c r="AA182" s="122">
        <v>1</v>
      </c>
      <c r="AB182" s="123">
        <v>1</v>
      </c>
      <c r="AC182" s="123" t="str">
        <f t="shared" si="51"/>
        <v/>
      </c>
      <c r="AD182" s="123" t="str">
        <f t="shared" si="52"/>
        <v/>
      </c>
      <c r="AE182" s="123" t="str">
        <f t="shared" si="53"/>
        <v/>
      </c>
      <c r="AF182" s="123" t="str">
        <f t="shared" si="54"/>
        <v/>
      </c>
      <c r="AG182" s="123" t="str">
        <f t="shared" si="55"/>
        <v/>
      </c>
      <c r="AH182" s="115" t="str">
        <f t="shared" si="56"/>
        <v/>
      </c>
      <c r="AI182" s="115" t="str">
        <f t="shared" si="57"/>
        <v/>
      </c>
      <c r="AJ182" s="115" t="str">
        <f t="shared" si="58"/>
        <v/>
      </c>
      <c r="AK182" s="115" t="str">
        <f t="shared" si="59"/>
        <v/>
      </c>
      <c r="AL182" s="115" t="str">
        <f t="shared" si="60"/>
        <v/>
      </c>
      <c r="AM182" s="115" t="str">
        <f t="shared" si="61"/>
        <v/>
      </c>
      <c r="AN182" s="115" t="str">
        <f t="shared" si="62"/>
        <v/>
      </c>
      <c r="AO182" s="3"/>
      <c r="AP182" s="3"/>
      <c r="AQ182" s="3"/>
      <c r="AR182" s="3"/>
      <c r="AS182" s="3"/>
      <c r="AT182" s="3"/>
      <c r="AU182" s="3"/>
      <c r="AZ182" s="1"/>
      <c r="BA182" s="1"/>
      <c r="BB182" s="1"/>
      <c r="BC182" s="1"/>
      <c r="BD182" s="1"/>
      <c r="BE182" s="1"/>
      <c r="BF182" s="1"/>
    </row>
    <row r="183" spans="1:58">
      <c r="A183" s="109">
        <v>59</v>
      </c>
      <c r="B183" s="114" t="str">
        <f>VLOOKUP(A183,P_DIS!$B$32:$Q$263,12)</f>
        <v>-</v>
      </c>
      <c r="C183" s="114" t="str">
        <f>VLOOKUP(A183,P_DIS!$B$32:$Q$263,13)</f>
        <v>-</v>
      </c>
      <c r="D183" s="114" t="str">
        <f>VLOOKUP(A183,P_DIS!$B$32:$Q$263,15)</f>
        <v>-</v>
      </c>
      <c r="E183" s="114" t="str">
        <f>VLOOKUP(A183,P_DIS!$B$32:$Q$263,14)</f>
        <v>-</v>
      </c>
      <c r="F183" s="114">
        <f>VLOOKUP(A183,P_DIS!$B$32:$Q$263,10)</f>
        <v>0</v>
      </c>
      <c r="G183" s="114" t="str">
        <f>VLOOKUP(A183,P_DIS!$B$32:$Q$263,11)</f>
        <v>-</v>
      </c>
      <c r="H183" s="114" t="str">
        <f>VLOOKUP(A183,P_DIS!$B$32:$Q$263,16)</f>
        <v>-</v>
      </c>
      <c r="I183" s="115" t="str">
        <f t="shared" si="40"/>
        <v/>
      </c>
      <c r="J183" s="116" t="str">
        <f t="shared" si="41"/>
        <v/>
      </c>
      <c r="K183" s="117" t="str">
        <f t="shared" si="42"/>
        <v/>
      </c>
      <c r="L183" s="118" t="str">
        <f t="shared" si="43"/>
        <v/>
      </c>
      <c r="M183" s="118" t="str">
        <f t="shared" si="44"/>
        <v/>
      </c>
      <c r="N183" s="118" t="str">
        <f t="shared" si="45"/>
        <v/>
      </c>
      <c r="O183" s="118" t="str">
        <f t="shared" si="46"/>
        <v/>
      </c>
      <c r="P183" s="118" t="str">
        <f t="shared" si="47"/>
        <v/>
      </c>
      <c r="Q183" s="118" t="str">
        <f t="shared" si="48"/>
        <v/>
      </c>
      <c r="R183" s="118" t="str">
        <f t="shared" si="49"/>
        <v/>
      </c>
      <c r="S183" s="118" t="str">
        <f t="shared" si="50"/>
        <v/>
      </c>
      <c r="T183" s="119" t="str">
        <f t="shared" si="33"/>
        <v/>
      </c>
      <c r="U183" s="119" t="str">
        <f t="shared" si="34"/>
        <v/>
      </c>
      <c r="V183" s="120" t="str">
        <f t="shared" si="35"/>
        <v/>
      </c>
      <c r="W183" s="120" t="str">
        <f t="shared" si="36"/>
        <v/>
      </c>
      <c r="X183" s="120" t="str">
        <f t="shared" si="63"/>
        <v/>
      </c>
      <c r="Y183" s="121" t="str">
        <f t="shared" si="64"/>
        <v/>
      </c>
      <c r="Z183" s="121" t="str">
        <f t="shared" si="65"/>
        <v/>
      </c>
      <c r="AA183" s="122">
        <v>1</v>
      </c>
      <c r="AB183" s="123">
        <v>1</v>
      </c>
      <c r="AC183" s="123" t="str">
        <f t="shared" si="51"/>
        <v/>
      </c>
      <c r="AD183" s="123" t="str">
        <f t="shared" si="52"/>
        <v/>
      </c>
      <c r="AE183" s="123" t="str">
        <f t="shared" si="53"/>
        <v/>
      </c>
      <c r="AF183" s="123" t="str">
        <f t="shared" si="54"/>
        <v/>
      </c>
      <c r="AG183" s="123" t="str">
        <f t="shared" si="55"/>
        <v/>
      </c>
      <c r="AH183" s="115" t="str">
        <f t="shared" si="56"/>
        <v/>
      </c>
      <c r="AI183" s="115" t="str">
        <f t="shared" si="57"/>
        <v/>
      </c>
      <c r="AJ183" s="115" t="str">
        <f t="shared" si="58"/>
        <v/>
      </c>
      <c r="AK183" s="115" t="str">
        <f t="shared" si="59"/>
        <v/>
      </c>
      <c r="AL183" s="115" t="str">
        <f t="shared" si="60"/>
        <v/>
      </c>
      <c r="AM183" s="115" t="str">
        <f t="shared" si="61"/>
        <v/>
      </c>
      <c r="AN183" s="115" t="str">
        <f t="shared" si="62"/>
        <v/>
      </c>
      <c r="AO183" s="3"/>
      <c r="AP183" s="3"/>
      <c r="AQ183" s="3"/>
      <c r="AR183" s="3"/>
      <c r="AS183" s="3"/>
      <c r="AT183" s="3"/>
      <c r="AU183" s="3"/>
      <c r="AZ183" s="1"/>
      <c r="BA183" s="1"/>
      <c r="BB183" s="1"/>
      <c r="BC183" s="1"/>
      <c r="BD183" s="1"/>
      <c r="BE183" s="1"/>
      <c r="BF183" s="1"/>
    </row>
    <row r="184" spans="1:58">
      <c r="A184" s="109">
        <v>60</v>
      </c>
      <c r="B184" s="114" t="str">
        <f>VLOOKUP(A184,P_DIS!$B$32:$Q$263,12)</f>
        <v>-</v>
      </c>
      <c r="C184" s="114" t="str">
        <f>VLOOKUP(A184,P_DIS!$B$32:$Q$263,13)</f>
        <v>-</v>
      </c>
      <c r="D184" s="114" t="str">
        <f>VLOOKUP(A184,P_DIS!$B$32:$Q$263,15)</f>
        <v>-</v>
      </c>
      <c r="E184" s="114" t="str">
        <f>VLOOKUP(A184,P_DIS!$B$32:$Q$263,14)</f>
        <v>-</v>
      </c>
      <c r="F184" s="114">
        <f>VLOOKUP(A184,P_DIS!$B$32:$Q$263,10)</f>
        <v>0</v>
      </c>
      <c r="G184" s="114" t="str">
        <f>VLOOKUP(A184,P_DIS!$B$32:$Q$263,11)</f>
        <v>-</v>
      </c>
      <c r="H184" s="114" t="str">
        <f>VLOOKUP(A184,P_DIS!$B$32:$Q$263,16)</f>
        <v>-</v>
      </c>
      <c r="I184" s="115" t="str">
        <f t="shared" si="40"/>
        <v/>
      </c>
      <c r="J184" s="116" t="str">
        <f t="shared" si="41"/>
        <v/>
      </c>
      <c r="K184" s="117" t="str">
        <f t="shared" si="42"/>
        <v/>
      </c>
      <c r="L184" s="118" t="str">
        <f t="shared" si="43"/>
        <v/>
      </c>
      <c r="M184" s="118" t="str">
        <f t="shared" si="44"/>
        <v/>
      </c>
      <c r="N184" s="118" t="str">
        <f t="shared" si="45"/>
        <v/>
      </c>
      <c r="O184" s="118" t="str">
        <f t="shared" si="46"/>
        <v/>
      </c>
      <c r="P184" s="118" t="str">
        <f t="shared" si="47"/>
        <v/>
      </c>
      <c r="Q184" s="118" t="str">
        <f t="shared" si="48"/>
        <v/>
      </c>
      <c r="R184" s="118" t="str">
        <f t="shared" si="49"/>
        <v/>
      </c>
      <c r="S184" s="118" t="str">
        <f t="shared" si="50"/>
        <v/>
      </c>
      <c r="T184" s="119" t="str">
        <f t="shared" si="33"/>
        <v/>
      </c>
      <c r="U184" s="119" t="str">
        <f t="shared" si="34"/>
        <v/>
      </c>
      <c r="V184" s="120" t="str">
        <f t="shared" si="35"/>
        <v/>
      </c>
      <c r="W184" s="120" t="str">
        <f t="shared" si="36"/>
        <v/>
      </c>
      <c r="X184" s="120" t="str">
        <f t="shared" si="63"/>
        <v/>
      </c>
      <c r="Y184" s="121" t="str">
        <f t="shared" si="64"/>
        <v/>
      </c>
      <c r="Z184" s="121" t="str">
        <f t="shared" si="65"/>
        <v/>
      </c>
      <c r="AA184" s="122">
        <v>1</v>
      </c>
      <c r="AB184" s="123">
        <v>1</v>
      </c>
      <c r="AC184" s="123" t="str">
        <f t="shared" si="51"/>
        <v/>
      </c>
      <c r="AD184" s="123" t="str">
        <f t="shared" si="52"/>
        <v/>
      </c>
      <c r="AE184" s="123" t="str">
        <f t="shared" si="53"/>
        <v/>
      </c>
      <c r="AF184" s="123" t="str">
        <f t="shared" si="54"/>
        <v/>
      </c>
      <c r="AG184" s="123" t="str">
        <f t="shared" si="55"/>
        <v/>
      </c>
      <c r="AH184" s="115" t="str">
        <f t="shared" si="56"/>
        <v/>
      </c>
      <c r="AI184" s="115" t="str">
        <f t="shared" si="57"/>
        <v/>
      </c>
      <c r="AJ184" s="115" t="str">
        <f t="shared" si="58"/>
        <v/>
      </c>
      <c r="AK184" s="115" t="str">
        <f t="shared" si="59"/>
        <v/>
      </c>
      <c r="AL184" s="115" t="str">
        <f t="shared" si="60"/>
        <v/>
      </c>
      <c r="AM184" s="115" t="str">
        <f t="shared" si="61"/>
        <v/>
      </c>
      <c r="AN184" s="115" t="str">
        <f t="shared" si="62"/>
        <v/>
      </c>
      <c r="AO184" s="3"/>
      <c r="AP184" s="3"/>
      <c r="AQ184" s="3"/>
      <c r="AR184" s="3"/>
      <c r="AS184" s="3"/>
      <c r="AT184" s="3"/>
      <c r="AU184" s="3"/>
      <c r="AZ184" s="1"/>
      <c r="BA184" s="1"/>
      <c r="BB184" s="1"/>
      <c r="BC184" s="1"/>
      <c r="BD184" s="1"/>
      <c r="BE184" s="1"/>
      <c r="BF184" s="1"/>
    </row>
    <row r="185" spans="1:58">
      <c r="A185" s="109">
        <v>61</v>
      </c>
      <c r="B185" s="114" t="str">
        <f>VLOOKUP(A185,P_DIS!$B$32:$Q$263,12)</f>
        <v>-</v>
      </c>
      <c r="C185" s="114" t="str">
        <f>VLOOKUP(A185,P_DIS!$B$32:$Q$263,13)</f>
        <v>-</v>
      </c>
      <c r="D185" s="114" t="str">
        <f>VLOOKUP(A185,P_DIS!$B$32:$Q$263,15)</f>
        <v>-</v>
      </c>
      <c r="E185" s="114" t="str">
        <f>VLOOKUP(A185,P_DIS!$B$32:$Q$263,14)</f>
        <v>-</v>
      </c>
      <c r="F185" s="114">
        <f>VLOOKUP(A185,P_DIS!$B$32:$Q$263,10)</f>
        <v>0</v>
      </c>
      <c r="G185" s="114" t="str">
        <f>VLOOKUP(A185,P_DIS!$B$32:$Q$263,11)</f>
        <v>-</v>
      </c>
      <c r="H185" s="114" t="str">
        <f>VLOOKUP(A185,P_DIS!$B$32:$Q$263,16)</f>
        <v>-</v>
      </c>
      <c r="I185" s="115" t="str">
        <f t="shared" si="40"/>
        <v/>
      </c>
      <c r="J185" s="116" t="str">
        <f t="shared" si="41"/>
        <v/>
      </c>
      <c r="K185" s="117" t="str">
        <f t="shared" si="42"/>
        <v/>
      </c>
      <c r="L185" s="118" t="str">
        <f t="shared" si="43"/>
        <v/>
      </c>
      <c r="M185" s="118" t="str">
        <f t="shared" si="44"/>
        <v/>
      </c>
      <c r="N185" s="118" t="str">
        <f t="shared" si="45"/>
        <v/>
      </c>
      <c r="O185" s="118" t="str">
        <f t="shared" si="46"/>
        <v/>
      </c>
      <c r="P185" s="118" t="str">
        <f t="shared" si="47"/>
        <v/>
      </c>
      <c r="Q185" s="118" t="str">
        <f t="shared" si="48"/>
        <v/>
      </c>
      <c r="R185" s="118" t="str">
        <f t="shared" si="49"/>
        <v/>
      </c>
      <c r="S185" s="118" t="str">
        <f t="shared" si="50"/>
        <v/>
      </c>
      <c r="T185" s="119" t="str">
        <f t="shared" si="33"/>
        <v/>
      </c>
      <c r="U185" s="119" t="str">
        <f t="shared" si="34"/>
        <v/>
      </c>
      <c r="V185" s="120" t="str">
        <f t="shared" si="35"/>
        <v/>
      </c>
      <c r="W185" s="120" t="str">
        <f t="shared" si="36"/>
        <v/>
      </c>
      <c r="X185" s="120" t="str">
        <f t="shared" si="63"/>
        <v/>
      </c>
      <c r="Y185" s="121" t="str">
        <f t="shared" si="64"/>
        <v/>
      </c>
      <c r="Z185" s="121" t="str">
        <f t="shared" si="65"/>
        <v/>
      </c>
      <c r="AA185" s="122">
        <v>1</v>
      </c>
      <c r="AB185" s="123">
        <v>1</v>
      </c>
      <c r="AC185" s="123" t="str">
        <f t="shared" si="51"/>
        <v/>
      </c>
      <c r="AD185" s="123" t="str">
        <f t="shared" si="52"/>
        <v/>
      </c>
      <c r="AE185" s="123" t="str">
        <f t="shared" si="53"/>
        <v/>
      </c>
      <c r="AF185" s="123" t="str">
        <f t="shared" si="54"/>
        <v/>
      </c>
      <c r="AG185" s="123" t="str">
        <f t="shared" si="55"/>
        <v/>
      </c>
      <c r="AH185" s="115" t="str">
        <f t="shared" si="56"/>
        <v/>
      </c>
      <c r="AI185" s="115" t="str">
        <f t="shared" si="57"/>
        <v/>
      </c>
      <c r="AJ185" s="115" t="str">
        <f t="shared" si="58"/>
        <v/>
      </c>
      <c r="AK185" s="115" t="str">
        <f t="shared" si="59"/>
        <v/>
      </c>
      <c r="AL185" s="115" t="str">
        <f t="shared" si="60"/>
        <v/>
      </c>
      <c r="AM185" s="115" t="str">
        <f t="shared" si="61"/>
        <v/>
      </c>
      <c r="AN185" s="115" t="str">
        <f t="shared" si="62"/>
        <v/>
      </c>
      <c r="AO185" s="3"/>
      <c r="AP185" s="3"/>
      <c r="AQ185" s="3"/>
      <c r="AR185" s="3"/>
      <c r="AS185" s="3"/>
      <c r="AT185" s="3"/>
      <c r="AU185" s="3"/>
      <c r="AZ185" s="1"/>
      <c r="BA185" s="1"/>
      <c r="BB185" s="1"/>
      <c r="BC185" s="1"/>
      <c r="BD185" s="1"/>
      <c r="BE185" s="1"/>
      <c r="BF185" s="1"/>
    </row>
    <row r="186" spans="1:58">
      <c r="A186" s="109">
        <v>62</v>
      </c>
      <c r="B186" s="114" t="str">
        <f>VLOOKUP(A186,P_DIS!$B$32:$Q$263,12)</f>
        <v>-</v>
      </c>
      <c r="C186" s="114" t="str">
        <f>VLOOKUP(A186,P_DIS!$B$32:$Q$263,13)</f>
        <v>-</v>
      </c>
      <c r="D186" s="114" t="str">
        <f>VLOOKUP(A186,P_DIS!$B$32:$Q$263,15)</f>
        <v>-</v>
      </c>
      <c r="E186" s="114" t="str">
        <f>VLOOKUP(A186,P_DIS!$B$32:$Q$263,14)</f>
        <v>-</v>
      </c>
      <c r="F186" s="114">
        <f>VLOOKUP(A186,P_DIS!$B$32:$Q$263,10)</f>
        <v>0</v>
      </c>
      <c r="G186" s="114" t="str">
        <f>VLOOKUP(A186,P_DIS!$B$32:$Q$263,11)</f>
        <v>-</v>
      </c>
      <c r="H186" s="114" t="str">
        <f>VLOOKUP(A186,P_DIS!$B$32:$Q$263,16)</f>
        <v>-</v>
      </c>
      <c r="I186" s="115" t="str">
        <f t="shared" si="40"/>
        <v/>
      </c>
      <c r="J186" s="116" t="str">
        <f t="shared" si="41"/>
        <v/>
      </c>
      <c r="K186" s="117" t="str">
        <f t="shared" si="42"/>
        <v/>
      </c>
      <c r="L186" s="118" t="str">
        <f t="shared" si="43"/>
        <v/>
      </c>
      <c r="M186" s="118" t="str">
        <f t="shared" si="44"/>
        <v/>
      </c>
      <c r="N186" s="118" t="str">
        <f t="shared" si="45"/>
        <v/>
      </c>
      <c r="O186" s="118" t="str">
        <f t="shared" si="46"/>
        <v/>
      </c>
      <c r="P186" s="118" t="str">
        <f t="shared" si="47"/>
        <v/>
      </c>
      <c r="Q186" s="118" t="str">
        <f t="shared" si="48"/>
        <v/>
      </c>
      <c r="R186" s="118" t="str">
        <f t="shared" si="49"/>
        <v/>
      </c>
      <c r="S186" s="118" t="str">
        <f t="shared" si="50"/>
        <v/>
      </c>
      <c r="T186" s="119" t="str">
        <f t="shared" si="33"/>
        <v/>
      </c>
      <c r="U186" s="119" t="str">
        <f t="shared" si="34"/>
        <v/>
      </c>
      <c r="V186" s="120" t="str">
        <f t="shared" si="35"/>
        <v/>
      </c>
      <c r="W186" s="120" t="str">
        <f t="shared" si="36"/>
        <v/>
      </c>
      <c r="X186" s="120" t="str">
        <f t="shared" si="63"/>
        <v/>
      </c>
      <c r="Y186" s="121" t="str">
        <f t="shared" si="64"/>
        <v/>
      </c>
      <c r="Z186" s="121" t="str">
        <f t="shared" si="65"/>
        <v/>
      </c>
      <c r="AA186" s="122">
        <v>1</v>
      </c>
      <c r="AB186" s="123">
        <v>1</v>
      </c>
      <c r="AC186" s="123" t="str">
        <f t="shared" si="51"/>
        <v/>
      </c>
      <c r="AD186" s="123" t="str">
        <f t="shared" si="52"/>
        <v/>
      </c>
      <c r="AE186" s="123" t="str">
        <f t="shared" si="53"/>
        <v/>
      </c>
      <c r="AF186" s="123" t="str">
        <f t="shared" si="54"/>
        <v/>
      </c>
      <c r="AG186" s="123" t="str">
        <f t="shared" si="55"/>
        <v/>
      </c>
      <c r="AH186" s="115" t="str">
        <f t="shared" si="56"/>
        <v/>
      </c>
      <c r="AI186" s="115" t="str">
        <f t="shared" si="57"/>
        <v/>
      </c>
      <c r="AJ186" s="115" t="str">
        <f t="shared" si="58"/>
        <v/>
      </c>
      <c r="AK186" s="115" t="str">
        <f t="shared" si="59"/>
        <v/>
      </c>
      <c r="AL186" s="115" t="str">
        <f t="shared" si="60"/>
        <v/>
      </c>
      <c r="AM186" s="115" t="str">
        <f t="shared" si="61"/>
        <v/>
      </c>
      <c r="AN186" s="115" t="str">
        <f t="shared" si="62"/>
        <v/>
      </c>
      <c r="AO186" s="3"/>
      <c r="AP186" s="3"/>
      <c r="AQ186" s="3"/>
      <c r="AR186" s="3"/>
      <c r="AS186" s="3"/>
      <c r="AT186" s="3"/>
      <c r="AU186" s="3"/>
      <c r="AZ186" s="1"/>
      <c r="BA186" s="1"/>
      <c r="BB186" s="1"/>
      <c r="BC186" s="1"/>
      <c r="BD186" s="1"/>
      <c r="BE186" s="1"/>
      <c r="BF186" s="1"/>
    </row>
    <row r="187" spans="1:58">
      <c r="A187" s="109">
        <v>63</v>
      </c>
      <c r="B187" s="114" t="str">
        <f>VLOOKUP(A187,P_DIS!$B$32:$Q$263,12)</f>
        <v>-</v>
      </c>
      <c r="C187" s="114" t="str">
        <f>VLOOKUP(A187,P_DIS!$B$32:$Q$263,13)</f>
        <v>-</v>
      </c>
      <c r="D187" s="114" t="str">
        <f>VLOOKUP(A187,P_DIS!$B$32:$Q$263,15)</f>
        <v>-</v>
      </c>
      <c r="E187" s="114" t="str">
        <f>VLOOKUP(A187,P_DIS!$B$32:$Q$263,14)</f>
        <v>-</v>
      </c>
      <c r="F187" s="114">
        <f>VLOOKUP(A187,P_DIS!$B$32:$Q$263,10)</f>
        <v>0</v>
      </c>
      <c r="G187" s="114" t="str">
        <f>VLOOKUP(A187,P_DIS!$B$32:$Q$263,11)</f>
        <v>-</v>
      </c>
      <c r="H187" s="114" t="str">
        <f>VLOOKUP(A187,P_DIS!$B$32:$Q$263,16)</f>
        <v>-</v>
      </c>
      <c r="I187" s="115" t="str">
        <f t="shared" si="40"/>
        <v/>
      </c>
      <c r="J187" s="116" t="str">
        <f t="shared" si="41"/>
        <v/>
      </c>
      <c r="K187" s="117" t="str">
        <f t="shared" si="42"/>
        <v/>
      </c>
      <c r="L187" s="118" t="str">
        <f t="shared" si="43"/>
        <v/>
      </c>
      <c r="M187" s="118" t="str">
        <f t="shared" si="44"/>
        <v/>
      </c>
      <c r="N187" s="118" t="str">
        <f t="shared" si="45"/>
        <v/>
      </c>
      <c r="O187" s="118" t="str">
        <f t="shared" si="46"/>
        <v/>
      </c>
      <c r="P187" s="118" t="str">
        <f t="shared" si="47"/>
        <v/>
      </c>
      <c r="Q187" s="118" t="str">
        <f t="shared" si="48"/>
        <v/>
      </c>
      <c r="R187" s="118" t="str">
        <f t="shared" si="49"/>
        <v/>
      </c>
      <c r="S187" s="118" t="str">
        <f t="shared" si="50"/>
        <v/>
      </c>
      <c r="T187" s="119" t="str">
        <f t="shared" si="33"/>
        <v/>
      </c>
      <c r="U187" s="119" t="str">
        <f t="shared" si="34"/>
        <v/>
      </c>
      <c r="V187" s="120" t="str">
        <f t="shared" si="35"/>
        <v/>
      </c>
      <c r="W187" s="120" t="str">
        <f t="shared" si="36"/>
        <v/>
      </c>
      <c r="X187" s="120" t="str">
        <f t="shared" si="63"/>
        <v/>
      </c>
      <c r="Y187" s="121" t="str">
        <f t="shared" si="64"/>
        <v/>
      </c>
      <c r="Z187" s="121" t="str">
        <f t="shared" si="65"/>
        <v/>
      </c>
      <c r="AA187" s="122">
        <v>1</v>
      </c>
      <c r="AB187" s="123">
        <v>1</v>
      </c>
      <c r="AC187" s="123" t="str">
        <f t="shared" si="51"/>
        <v/>
      </c>
      <c r="AD187" s="123" t="str">
        <f t="shared" si="52"/>
        <v/>
      </c>
      <c r="AE187" s="123" t="str">
        <f t="shared" si="53"/>
        <v/>
      </c>
      <c r="AF187" s="123" t="str">
        <f t="shared" si="54"/>
        <v/>
      </c>
      <c r="AG187" s="123" t="str">
        <f t="shared" si="55"/>
        <v/>
      </c>
      <c r="AH187" s="115" t="str">
        <f t="shared" si="56"/>
        <v/>
      </c>
      <c r="AI187" s="115" t="str">
        <f t="shared" si="57"/>
        <v/>
      </c>
      <c r="AJ187" s="115" t="str">
        <f t="shared" si="58"/>
        <v/>
      </c>
      <c r="AK187" s="115" t="str">
        <f t="shared" si="59"/>
        <v/>
      </c>
      <c r="AL187" s="115" t="str">
        <f t="shared" si="60"/>
        <v/>
      </c>
      <c r="AM187" s="115" t="str">
        <f t="shared" si="61"/>
        <v/>
      </c>
      <c r="AN187" s="115" t="str">
        <f t="shared" si="62"/>
        <v/>
      </c>
      <c r="AO187" s="3"/>
      <c r="AP187" s="3"/>
      <c r="AQ187" s="3"/>
      <c r="AR187" s="3"/>
      <c r="AS187" s="3"/>
      <c r="AT187" s="3"/>
      <c r="AU187" s="3"/>
      <c r="AZ187" s="1"/>
      <c r="BA187" s="1"/>
      <c r="BB187" s="1"/>
      <c r="BC187" s="1"/>
      <c r="BD187" s="1"/>
      <c r="BE187" s="1"/>
      <c r="BF187" s="1"/>
    </row>
    <row r="188" spans="1:58">
      <c r="A188" s="109">
        <v>64</v>
      </c>
      <c r="B188" s="114" t="str">
        <f>VLOOKUP(A188,P_DIS!$B$32:$Q$263,12)</f>
        <v>-</v>
      </c>
      <c r="C188" s="114" t="str">
        <f>VLOOKUP(A188,P_DIS!$B$32:$Q$263,13)</f>
        <v>-</v>
      </c>
      <c r="D188" s="114" t="str">
        <f>VLOOKUP(A188,P_DIS!$B$32:$Q$263,15)</f>
        <v>-</v>
      </c>
      <c r="E188" s="114" t="str">
        <f>VLOOKUP(A188,P_DIS!$B$32:$Q$263,14)</f>
        <v>-</v>
      </c>
      <c r="F188" s="114">
        <f>VLOOKUP(A188,P_DIS!$B$32:$Q$263,10)</f>
        <v>0</v>
      </c>
      <c r="G188" s="114" t="str">
        <f>VLOOKUP(A188,P_DIS!$B$32:$Q$263,11)</f>
        <v>-</v>
      </c>
      <c r="H188" s="114" t="str">
        <f>VLOOKUP(A188,P_DIS!$B$32:$Q$263,16)</f>
        <v>-</v>
      </c>
      <c r="I188" s="115" t="str">
        <f t="shared" si="40"/>
        <v/>
      </c>
      <c r="J188" s="116" t="str">
        <f t="shared" si="41"/>
        <v/>
      </c>
      <c r="K188" s="117" t="str">
        <f t="shared" si="42"/>
        <v/>
      </c>
      <c r="L188" s="118" t="str">
        <f t="shared" si="43"/>
        <v/>
      </c>
      <c r="M188" s="118" t="str">
        <f t="shared" si="44"/>
        <v/>
      </c>
      <c r="N188" s="118" t="str">
        <f t="shared" si="45"/>
        <v/>
      </c>
      <c r="O188" s="118" t="str">
        <f t="shared" si="46"/>
        <v/>
      </c>
      <c r="P188" s="118" t="str">
        <f t="shared" si="47"/>
        <v/>
      </c>
      <c r="Q188" s="118" t="str">
        <f t="shared" si="48"/>
        <v/>
      </c>
      <c r="R188" s="118" t="str">
        <f t="shared" si="49"/>
        <v/>
      </c>
      <c r="S188" s="118" t="str">
        <f t="shared" si="50"/>
        <v/>
      </c>
      <c r="T188" s="119" t="str">
        <f t="shared" si="33"/>
        <v/>
      </c>
      <c r="U188" s="119" t="str">
        <f t="shared" si="34"/>
        <v/>
      </c>
      <c r="V188" s="120" t="str">
        <f t="shared" si="35"/>
        <v/>
      </c>
      <c r="W188" s="120" t="str">
        <f t="shared" si="36"/>
        <v/>
      </c>
      <c r="X188" s="120" t="str">
        <f t="shared" si="63"/>
        <v/>
      </c>
      <c r="Y188" s="121" t="str">
        <f t="shared" si="64"/>
        <v/>
      </c>
      <c r="Z188" s="121" t="str">
        <f t="shared" si="65"/>
        <v/>
      </c>
      <c r="AA188" s="122">
        <v>1</v>
      </c>
      <c r="AB188" s="123">
        <v>1</v>
      </c>
      <c r="AC188" s="123" t="str">
        <f t="shared" si="51"/>
        <v/>
      </c>
      <c r="AD188" s="123" t="str">
        <f t="shared" si="52"/>
        <v/>
      </c>
      <c r="AE188" s="123" t="str">
        <f t="shared" si="53"/>
        <v/>
      </c>
      <c r="AF188" s="123" t="str">
        <f t="shared" si="54"/>
        <v/>
      </c>
      <c r="AG188" s="123" t="str">
        <f t="shared" si="55"/>
        <v/>
      </c>
      <c r="AH188" s="115" t="str">
        <f t="shared" si="56"/>
        <v/>
      </c>
      <c r="AI188" s="115" t="str">
        <f t="shared" si="57"/>
        <v/>
      </c>
      <c r="AJ188" s="115" t="str">
        <f t="shared" si="58"/>
        <v/>
      </c>
      <c r="AK188" s="115" t="str">
        <f t="shared" si="59"/>
        <v/>
      </c>
      <c r="AL188" s="115" t="str">
        <f t="shared" si="60"/>
        <v/>
      </c>
      <c r="AM188" s="115" t="str">
        <f t="shared" si="61"/>
        <v/>
      </c>
      <c r="AN188" s="115" t="str">
        <f t="shared" si="62"/>
        <v/>
      </c>
      <c r="AO188" s="3"/>
      <c r="AP188" s="3"/>
      <c r="AQ188" s="3"/>
      <c r="AR188" s="3"/>
      <c r="AS188" s="3"/>
      <c r="AT188" s="3"/>
      <c r="AU188" s="3"/>
      <c r="AZ188" s="1"/>
      <c r="BA188" s="1"/>
      <c r="BB188" s="1"/>
      <c r="BC188" s="1"/>
      <c r="BD188" s="1"/>
      <c r="BE188" s="1"/>
      <c r="BF188" s="1"/>
    </row>
    <row r="189" spans="1:58">
      <c r="A189" s="109">
        <v>65</v>
      </c>
      <c r="B189" s="114" t="str">
        <f>VLOOKUP(A189,P_DIS!$B$32:$Q$263,12)</f>
        <v>-</v>
      </c>
      <c r="C189" s="114" t="str">
        <f>VLOOKUP(A189,P_DIS!$B$32:$Q$263,13)</f>
        <v>-</v>
      </c>
      <c r="D189" s="114" t="str">
        <f>VLOOKUP(A189,P_DIS!$B$32:$Q$263,15)</f>
        <v>-</v>
      </c>
      <c r="E189" s="114" t="str">
        <f>VLOOKUP(A189,P_DIS!$B$32:$Q$263,14)</f>
        <v>-</v>
      </c>
      <c r="F189" s="114">
        <f>VLOOKUP(A189,P_DIS!$B$32:$Q$263,10)</f>
        <v>0</v>
      </c>
      <c r="G189" s="114" t="str">
        <f>VLOOKUP(A189,P_DIS!$B$32:$Q$263,11)</f>
        <v>-</v>
      </c>
      <c r="H189" s="114" t="str">
        <f>VLOOKUP(A189,P_DIS!$B$32:$Q$263,16)</f>
        <v>-</v>
      </c>
      <c r="I189" s="115" t="str">
        <f t="shared" si="40"/>
        <v/>
      </c>
      <c r="J189" s="116" t="str">
        <f t="shared" si="41"/>
        <v/>
      </c>
      <c r="K189" s="117" t="str">
        <f t="shared" si="42"/>
        <v/>
      </c>
      <c r="L189" s="118" t="str">
        <f t="shared" si="43"/>
        <v/>
      </c>
      <c r="M189" s="118" t="str">
        <f t="shared" si="44"/>
        <v/>
      </c>
      <c r="N189" s="118" t="str">
        <f t="shared" si="45"/>
        <v/>
      </c>
      <c r="O189" s="118" t="str">
        <f t="shared" si="46"/>
        <v/>
      </c>
      <c r="P189" s="118" t="str">
        <f t="shared" si="47"/>
        <v/>
      </c>
      <c r="Q189" s="118" t="str">
        <f t="shared" si="48"/>
        <v/>
      </c>
      <c r="R189" s="118" t="str">
        <f t="shared" si="49"/>
        <v/>
      </c>
      <c r="S189" s="118" t="str">
        <f t="shared" si="50"/>
        <v/>
      </c>
      <c r="T189" s="119" t="str">
        <f t="shared" ref="T189:T252" si="66">IF(H189="-","",$Q$28*POWER(H189,2)+$Q$29*H189+$Q$30)</f>
        <v/>
      </c>
      <c r="U189" s="119" t="str">
        <f t="shared" ref="U189:U252" si="67">IF(H189="-","",$Q$55*POWER(H189,2)+$Q$56*H189+$Q$57)</f>
        <v/>
      </c>
      <c r="V189" s="120" t="str">
        <f t="shared" ref="V189:V252" si="68">IF(H189="-","",$L$77*SQRT($L$78+((POWER(F189-$H$77,2)/$L$79))))</f>
        <v/>
      </c>
      <c r="W189" s="120" t="str">
        <f t="shared" ref="W189:W252" si="69">IF(H189="-","",$G$99)</f>
        <v/>
      </c>
      <c r="X189" s="120" t="str">
        <f t="shared" ref="X189:X220" si="70">IF(H189="-","",SQRT($D$88+($D$89*POWER(B189,2))))</f>
        <v/>
      </c>
      <c r="Y189" s="121" t="str">
        <f t="shared" ref="Y189:Y220" si="71">IF(H189="-","",$D$109)</f>
        <v/>
      </c>
      <c r="Z189" s="121" t="str">
        <f t="shared" ref="Z189:Z220" si="72">IF(H189="-","",$G$118)</f>
        <v/>
      </c>
      <c r="AA189" s="122">
        <v>1</v>
      </c>
      <c r="AB189" s="123">
        <v>1</v>
      </c>
      <c r="AC189" s="123" t="str">
        <f t="shared" si="51"/>
        <v/>
      </c>
      <c r="AD189" s="123" t="str">
        <f t="shared" si="52"/>
        <v/>
      </c>
      <c r="AE189" s="123" t="str">
        <f t="shared" si="53"/>
        <v/>
      </c>
      <c r="AF189" s="123" t="str">
        <f t="shared" si="54"/>
        <v/>
      </c>
      <c r="AG189" s="123" t="str">
        <f t="shared" si="55"/>
        <v/>
      </c>
      <c r="AH189" s="115" t="str">
        <f t="shared" si="56"/>
        <v/>
      </c>
      <c r="AI189" s="115" t="str">
        <f t="shared" si="57"/>
        <v/>
      </c>
      <c r="AJ189" s="115" t="str">
        <f t="shared" si="58"/>
        <v/>
      </c>
      <c r="AK189" s="115" t="str">
        <f t="shared" si="59"/>
        <v/>
      </c>
      <c r="AL189" s="115" t="str">
        <f t="shared" si="60"/>
        <v/>
      </c>
      <c r="AM189" s="115" t="str">
        <f t="shared" si="61"/>
        <v/>
      </c>
      <c r="AN189" s="115" t="str">
        <f t="shared" si="62"/>
        <v/>
      </c>
      <c r="AO189" s="3"/>
      <c r="AP189" s="3"/>
      <c r="AQ189" s="3"/>
      <c r="AR189" s="3"/>
      <c r="AS189" s="3"/>
      <c r="AT189" s="3"/>
      <c r="AU189" s="3"/>
      <c r="AZ189" s="1"/>
      <c r="BA189" s="1"/>
      <c r="BB189" s="1"/>
      <c r="BC189" s="1"/>
      <c r="BD189" s="1"/>
      <c r="BE189" s="1"/>
      <c r="BF189" s="1"/>
    </row>
    <row r="190" spans="1:58">
      <c r="A190" s="109">
        <v>66</v>
      </c>
      <c r="B190" s="114" t="str">
        <f>VLOOKUP(A190,P_DIS!$B$32:$Q$263,12)</f>
        <v>-</v>
      </c>
      <c r="C190" s="114" t="str">
        <f>VLOOKUP(A190,P_DIS!$B$32:$Q$263,13)</f>
        <v>-</v>
      </c>
      <c r="D190" s="114" t="str">
        <f>VLOOKUP(A190,P_DIS!$B$32:$Q$263,15)</f>
        <v>-</v>
      </c>
      <c r="E190" s="114" t="str">
        <f>VLOOKUP(A190,P_DIS!$B$32:$Q$263,14)</f>
        <v>-</v>
      </c>
      <c r="F190" s="114">
        <f>VLOOKUP(A190,P_DIS!$B$32:$Q$263,10)</f>
        <v>0</v>
      </c>
      <c r="G190" s="114" t="str">
        <f>VLOOKUP(A190,P_DIS!$B$32:$Q$263,11)</f>
        <v>-</v>
      </c>
      <c r="H190" s="114" t="str">
        <f>VLOOKUP(A190,P_DIS!$B$32:$Q$263,16)</f>
        <v>-</v>
      </c>
      <c r="I190" s="115" t="str">
        <f t="shared" ref="I190:I253" si="73">IF(H190="-","",SUM(AH190:AN190))</f>
        <v/>
      </c>
      <c r="J190" s="116" t="str">
        <f t="shared" ref="J190:J253" si="74">IF(H190="-","",SQRT(I190))</f>
        <v/>
      </c>
      <c r="K190" s="117" t="str">
        <f t="shared" ref="K190:K253" si="75">IF(H190="-","",J190*$K$122)</f>
        <v/>
      </c>
      <c r="L190" s="118" t="str">
        <f t="shared" ref="L190:L253" si="76">IF(H190="-","",AH190/I190)</f>
        <v/>
      </c>
      <c r="M190" s="118" t="str">
        <f t="shared" ref="M190:M253" si="77">IF(H190="-","",AI190/I190)</f>
        <v/>
      </c>
      <c r="N190" s="118" t="str">
        <f t="shared" ref="N190:N253" si="78">IF(H190="-","",AJ190/I190)</f>
        <v/>
      </c>
      <c r="O190" s="118" t="str">
        <f t="shared" ref="O190:O253" si="79">IF(H190="-","",AK190/I190)</f>
        <v/>
      </c>
      <c r="P190" s="118" t="str">
        <f t="shared" ref="P190:P253" si="80">IF(H190="-","",AL190/I190)</f>
        <v/>
      </c>
      <c r="Q190" s="118" t="str">
        <f t="shared" ref="Q190:Q253" si="81">IF(H190="-","",AM190/I190)</f>
        <v/>
      </c>
      <c r="R190" s="118" t="str">
        <f t="shared" ref="R190:R253" si="82">IF(H190="-","",AN190/I190)</f>
        <v/>
      </c>
      <c r="S190" s="118" t="str">
        <f t="shared" ref="S190:S253" si="83">IF(H190="-","",SUM(L190:R190))</f>
        <v/>
      </c>
      <c r="T190" s="119" t="str">
        <f t="shared" si="66"/>
        <v/>
      </c>
      <c r="U190" s="119" t="str">
        <f t="shared" si="67"/>
        <v/>
      </c>
      <c r="V190" s="120" t="str">
        <f t="shared" si="68"/>
        <v/>
      </c>
      <c r="W190" s="120" t="str">
        <f t="shared" si="69"/>
        <v/>
      </c>
      <c r="X190" s="120" t="str">
        <f t="shared" si="70"/>
        <v/>
      </c>
      <c r="Y190" s="121" t="str">
        <f t="shared" si="71"/>
        <v/>
      </c>
      <c r="Z190" s="121" t="str">
        <f t="shared" si="72"/>
        <v/>
      </c>
      <c r="AA190" s="122">
        <v>1</v>
      </c>
      <c r="AB190" s="123">
        <v>1</v>
      </c>
      <c r="AC190" s="123" t="str">
        <f t="shared" ref="AC190:AC253" si="84">IF(H190="-","",(C190/B190)*(E190/D190))</f>
        <v/>
      </c>
      <c r="AD190" s="123" t="str">
        <f t="shared" ref="AD190:AD253" si="85">IF(H190="-","",G190*(1/B190)*(E190/D190))</f>
        <v/>
      </c>
      <c r="AE190" s="123" t="str">
        <f t="shared" ref="AE190:AE253" si="86">IF(H190="-","",-G190*(C190/POWER(B190,2))*(E190/D190))</f>
        <v/>
      </c>
      <c r="AF190" s="123" t="str">
        <f t="shared" ref="AF190:AF253" si="87">IF(H190="-","",G190*(C190/B190)*(1/D190))</f>
        <v/>
      </c>
      <c r="AG190" s="123" t="str">
        <f t="shared" ref="AG190:AG253" si="88">IF(H190="-","",-G190*(C190/B190)*(E190/POWER(D190,2)))</f>
        <v/>
      </c>
      <c r="AH190" s="115" t="str">
        <f t="shared" ref="AH190:AH253" si="89">IF(H190="-","",POWER(AA190*T190,2))</f>
        <v/>
      </c>
      <c r="AI190" s="115" t="str">
        <f t="shared" ref="AI190:AI253" si="90">IF(H190="-","",POWER(AB190*U190,2))</f>
        <v/>
      </c>
      <c r="AJ190" s="115" t="str">
        <f t="shared" ref="AJ190:AJ253" si="91">IF(H190="-","",POWER(AC190*V190,2))</f>
        <v/>
      </c>
      <c r="AK190" s="115" t="str">
        <f t="shared" ref="AK190:AK253" si="92">IF(H190="-","",POWER(AD190*W190,2))</f>
        <v/>
      </c>
      <c r="AL190" s="115" t="str">
        <f t="shared" ref="AL190:AL253" si="93">IF(H190="-","",POWER(AE190*X190,2))</f>
        <v/>
      </c>
      <c r="AM190" s="115" t="str">
        <f t="shared" ref="AM190:AM253" si="94">IF(H190="-","",POWER(AF190*Y190,2))</f>
        <v/>
      </c>
      <c r="AN190" s="115" t="str">
        <f t="shared" ref="AN190:AN253" si="95">IF(H190="-","",POWER(AG190*Z190,2))</f>
        <v/>
      </c>
      <c r="AO190" s="3"/>
      <c r="AP190" s="3"/>
      <c r="AQ190" s="3"/>
      <c r="AR190" s="3"/>
      <c r="AS190" s="3"/>
      <c r="AT190" s="3"/>
      <c r="AU190" s="3"/>
      <c r="AZ190" s="1"/>
      <c r="BA190" s="1"/>
      <c r="BB190" s="1"/>
      <c r="BC190" s="1"/>
      <c r="BD190" s="1"/>
      <c r="BE190" s="1"/>
      <c r="BF190" s="1"/>
    </row>
    <row r="191" spans="1:58">
      <c r="A191" s="109">
        <v>67</v>
      </c>
      <c r="B191" s="114" t="str">
        <f>VLOOKUP(A191,P_DIS!$B$32:$Q$263,12)</f>
        <v>-</v>
      </c>
      <c r="C191" s="114" t="str">
        <f>VLOOKUP(A191,P_DIS!$B$32:$Q$263,13)</f>
        <v>-</v>
      </c>
      <c r="D191" s="114" t="str">
        <f>VLOOKUP(A191,P_DIS!$B$32:$Q$263,15)</f>
        <v>-</v>
      </c>
      <c r="E191" s="114" t="str">
        <f>VLOOKUP(A191,P_DIS!$B$32:$Q$263,14)</f>
        <v>-</v>
      </c>
      <c r="F191" s="114">
        <f>VLOOKUP(A191,P_DIS!$B$32:$Q$263,10)</f>
        <v>0</v>
      </c>
      <c r="G191" s="114" t="str">
        <f>VLOOKUP(A191,P_DIS!$B$32:$Q$263,11)</f>
        <v>-</v>
      </c>
      <c r="H191" s="114" t="str">
        <f>VLOOKUP(A191,P_DIS!$B$32:$Q$263,16)</f>
        <v>-</v>
      </c>
      <c r="I191" s="115" t="str">
        <f t="shared" si="73"/>
        <v/>
      </c>
      <c r="J191" s="116" t="str">
        <f t="shared" si="74"/>
        <v/>
      </c>
      <c r="K191" s="117" t="str">
        <f t="shared" si="75"/>
        <v/>
      </c>
      <c r="L191" s="118" t="str">
        <f t="shared" si="76"/>
        <v/>
      </c>
      <c r="M191" s="118" t="str">
        <f t="shared" si="77"/>
        <v/>
      </c>
      <c r="N191" s="118" t="str">
        <f t="shared" si="78"/>
        <v/>
      </c>
      <c r="O191" s="118" t="str">
        <f t="shared" si="79"/>
        <v/>
      </c>
      <c r="P191" s="118" t="str">
        <f t="shared" si="80"/>
        <v/>
      </c>
      <c r="Q191" s="118" t="str">
        <f t="shared" si="81"/>
        <v/>
      </c>
      <c r="R191" s="118" t="str">
        <f t="shared" si="82"/>
        <v/>
      </c>
      <c r="S191" s="118" t="str">
        <f t="shared" si="83"/>
        <v/>
      </c>
      <c r="T191" s="119" t="str">
        <f t="shared" si="66"/>
        <v/>
      </c>
      <c r="U191" s="119" t="str">
        <f t="shared" si="67"/>
        <v/>
      </c>
      <c r="V191" s="120" t="str">
        <f t="shared" si="68"/>
        <v/>
      </c>
      <c r="W191" s="120" t="str">
        <f t="shared" si="69"/>
        <v/>
      </c>
      <c r="X191" s="120" t="str">
        <f t="shared" si="70"/>
        <v/>
      </c>
      <c r="Y191" s="121" t="str">
        <f t="shared" si="71"/>
        <v/>
      </c>
      <c r="Z191" s="121" t="str">
        <f t="shared" si="72"/>
        <v/>
      </c>
      <c r="AA191" s="122">
        <v>1</v>
      </c>
      <c r="AB191" s="123">
        <v>1</v>
      </c>
      <c r="AC191" s="123" t="str">
        <f t="shared" si="84"/>
        <v/>
      </c>
      <c r="AD191" s="123" t="str">
        <f t="shared" si="85"/>
        <v/>
      </c>
      <c r="AE191" s="123" t="str">
        <f t="shared" si="86"/>
        <v/>
      </c>
      <c r="AF191" s="123" t="str">
        <f t="shared" si="87"/>
        <v/>
      </c>
      <c r="AG191" s="123" t="str">
        <f t="shared" si="88"/>
        <v/>
      </c>
      <c r="AH191" s="115" t="str">
        <f t="shared" si="89"/>
        <v/>
      </c>
      <c r="AI191" s="115" t="str">
        <f t="shared" si="90"/>
        <v/>
      </c>
      <c r="AJ191" s="115" t="str">
        <f t="shared" si="91"/>
        <v/>
      </c>
      <c r="AK191" s="115" t="str">
        <f t="shared" si="92"/>
        <v/>
      </c>
      <c r="AL191" s="115" t="str">
        <f t="shared" si="93"/>
        <v/>
      </c>
      <c r="AM191" s="115" t="str">
        <f t="shared" si="94"/>
        <v/>
      </c>
      <c r="AN191" s="115" t="str">
        <f t="shared" si="95"/>
        <v/>
      </c>
      <c r="AO191" s="3"/>
      <c r="AP191" s="3"/>
      <c r="AQ191" s="3"/>
      <c r="AR191" s="3"/>
      <c r="AS191" s="3"/>
      <c r="AT191" s="3"/>
      <c r="AU191" s="3"/>
      <c r="AZ191" s="1"/>
      <c r="BA191" s="1"/>
      <c r="BB191" s="1"/>
      <c r="BC191" s="1"/>
      <c r="BD191" s="1"/>
      <c r="BE191" s="1"/>
      <c r="BF191" s="1"/>
    </row>
    <row r="192" spans="1:58">
      <c r="A192" s="109">
        <v>68</v>
      </c>
      <c r="B192" s="114" t="str">
        <f>VLOOKUP(A192,P_DIS!$B$32:$Q$263,12)</f>
        <v>-</v>
      </c>
      <c r="C192" s="114" t="str">
        <f>VLOOKUP(A192,P_DIS!$B$32:$Q$263,13)</f>
        <v>-</v>
      </c>
      <c r="D192" s="114" t="str">
        <f>VLOOKUP(A192,P_DIS!$B$32:$Q$263,15)</f>
        <v>-</v>
      </c>
      <c r="E192" s="114" t="str">
        <f>VLOOKUP(A192,P_DIS!$B$32:$Q$263,14)</f>
        <v>-</v>
      </c>
      <c r="F192" s="114">
        <f>VLOOKUP(A192,P_DIS!$B$32:$Q$263,10)</f>
        <v>0</v>
      </c>
      <c r="G192" s="114" t="str">
        <f>VLOOKUP(A192,P_DIS!$B$32:$Q$263,11)</f>
        <v>-</v>
      </c>
      <c r="H192" s="114" t="str">
        <f>VLOOKUP(A192,P_DIS!$B$32:$Q$263,16)</f>
        <v>-</v>
      </c>
      <c r="I192" s="115" t="str">
        <f t="shared" si="73"/>
        <v/>
      </c>
      <c r="J192" s="116" t="str">
        <f t="shared" si="74"/>
        <v/>
      </c>
      <c r="K192" s="117" t="str">
        <f t="shared" si="75"/>
        <v/>
      </c>
      <c r="L192" s="118" t="str">
        <f t="shared" si="76"/>
        <v/>
      </c>
      <c r="M192" s="118" t="str">
        <f t="shared" si="77"/>
        <v/>
      </c>
      <c r="N192" s="118" t="str">
        <f t="shared" si="78"/>
        <v/>
      </c>
      <c r="O192" s="118" t="str">
        <f t="shared" si="79"/>
        <v/>
      </c>
      <c r="P192" s="118" t="str">
        <f t="shared" si="80"/>
        <v/>
      </c>
      <c r="Q192" s="118" t="str">
        <f t="shared" si="81"/>
        <v/>
      </c>
      <c r="R192" s="118" t="str">
        <f t="shared" si="82"/>
        <v/>
      </c>
      <c r="S192" s="118" t="str">
        <f t="shared" si="83"/>
        <v/>
      </c>
      <c r="T192" s="119" t="str">
        <f t="shared" si="66"/>
        <v/>
      </c>
      <c r="U192" s="119" t="str">
        <f t="shared" si="67"/>
        <v/>
      </c>
      <c r="V192" s="120" t="str">
        <f t="shared" si="68"/>
        <v/>
      </c>
      <c r="W192" s="120" t="str">
        <f t="shared" si="69"/>
        <v/>
      </c>
      <c r="X192" s="120" t="str">
        <f t="shared" si="70"/>
        <v/>
      </c>
      <c r="Y192" s="121" t="str">
        <f t="shared" si="71"/>
        <v/>
      </c>
      <c r="Z192" s="121" t="str">
        <f t="shared" si="72"/>
        <v/>
      </c>
      <c r="AA192" s="122">
        <v>1</v>
      </c>
      <c r="AB192" s="123">
        <v>1</v>
      </c>
      <c r="AC192" s="123" t="str">
        <f t="shared" si="84"/>
        <v/>
      </c>
      <c r="AD192" s="123" t="str">
        <f t="shared" si="85"/>
        <v/>
      </c>
      <c r="AE192" s="123" t="str">
        <f t="shared" si="86"/>
        <v/>
      </c>
      <c r="AF192" s="123" t="str">
        <f t="shared" si="87"/>
        <v/>
      </c>
      <c r="AG192" s="123" t="str">
        <f t="shared" si="88"/>
        <v/>
      </c>
      <c r="AH192" s="115" t="str">
        <f t="shared" si="89"/>
        <v/>
      </c>
      <c r="AI192" s="115" t="str">
        <f t="shared" si="90"/>
        <v/>
      </c>
      <c r="AJ192" s="115" t="str">
        <f t="shared" si="91"/>
        <v/>
      </c>
      <c r="AK192" s="115" t="str">
        <f t="shared" si="92"/>
        <v/>
      </c>
      <c r="AL192" s="115" t="str">
        <f t="shared" si="93"/>
        <v/>
      </c>
      <c r="AM192" s="115" t="str">
        <f t="shared" si="94"/>
        <v/>
      </c>
      <c r="AN192" s="115" t="str">
        <f t="shared" si="95"/>
        <v/>
      </c>
      <c r="AO192" s="3"/>
      <c r="AP192" s="3"/>
      <c r="AQ192" s="3"/>
      <c r="AR192" s="3"/>
      <c r="AS192" s="3"/>
      <c r="AT192" s="3"/>
      <c r="AU192" s="3"/>
      <c r="AZ192" s="1"/>
      <c r="BA192" s="1"/>
      <c r="BB192" s="1"/>
      <c r="BC192" s="1"/>
      <c r="BD192" s="1"/>
      <c r="BE192" s="1"/>
      <c r="BF192" s="1"/>
    </row>
    <row r="193" spans="1:58">
      <c r="A193" s="109">
        <v>69</v>
      </c>
      <c r="B193" s="114" t="str">
        <f>VLOOKUP(A193,P_DIS!$B$32:$Q$263,12)</f>
        <v>-</v>
      </c>
      <c r="C193" s="114" t="str">
        <f>VLOOKUP(A193,P_DIS!$B$32:$Q$263,13)</f>
        <v>-</v>
      </c>
      <c r="D193" s="114" t="str">
        <f>VLOOKUP(A193,P_DIS!$B$32:$Q$263,15)</f>
        <v>-</v>
      </c>
      <c r="E193" s="114" t="str">
        <f>VLOOKUP(A193,P_DIS!$B$32:$Q$263,14)</f>
        <v>-</v>
      </c>
      <c r="F193" s="114">
        <f>VLOOKUP(A193,P_DIS!$B$32:$Q$263,10)</f>
        <v>0</v>
      </c>
      <c r="G193" s="114" t="str">
        <f>VLOOKUP(A193,P_DIS!$B$32:$Q$263,11)</f>
        <v>-</v>
      </c>
      <c r="H193" s="114" t="str">
        <f>VLOOKUP(A193,P_DIS!$B$32:$Q$263,16)</f>
        <v>-</v>
      </c>
      <c r="I193" s="115" t="str">
        <f t="shared" si="73"/>
        <v/>
      </c>
      <c r="J193" s="116" t="str">
        <f t="shared" si="74"/>
        <v/>
      </c>
      <c r="K193" s="117" t="str">
        <f t="shared" si="75"/>
        <v/>
      </c>
      <c r="L193" s="118" t="str">
        <f t="shared" si="76"/>
        <v/>
      </c>
      <c r="M193" s="118" t="str">
        <f t="shared" si="77"/>
        <v/>
      </c>
      <c r="N193" s="118" t="str">
        <f t="shared" si="78"/>
        <v/>
      </c>
      <c r="O193" s="118" t="str">
        <f t="shared" si="79"/>
        <v/>
      </c>
      <c r="P193" s="118" t="str">
        <f t="shared" si="80"/>
        <v/>
      </c>
      <c r="Q193" s="118" t="str">
        <f t="shared" si="81"/>
        <v/>
      </c>
      <c r="R193" s="118" t="str">
        <f t="shared" si="82"/>
        <v/>
      </c>
      <c r="S193" s="118" t="str">
        <f t="shared" si="83"/>
        <v/>
      </c>
      <c r="T193" s="119" t="str">
        <f t="shared" si="66"/>
        <v/>
      </c>
      <c r="U193" s="119" t="str">
        <f t="shared" si="67"/>
        <v/>
      </c>
      <c r="V193" s="120" t="str">
        <f t="shared" si="68"/>
        <v/>
      </c>
      <c r="W193" s="120" t="str">
        <f t="shared" si="69"/>
        <v/>
      </c>
      <c r="X193" s="120" t="str">
        <f t="shared" si="70"/>
        <v/>
      </c>
      <c r="Y193" s="121" t="str">
        <f t="shared" si="71"/>
        <v/>
      </c>
      <c r="Z193" s="121" t="str">
        <f t="shared" si="72"/>
        <v/>
      </c>
      <c r="AA193" s="122">
        <v>1</v>
      </c>
      <c r="AB193" s="123">
        <v>1</v>
      </c>
      <c r="AC193" s="123" t="str">
        <f t="shared" si="84"/>
        <v/>
      </c>
      <c r="AD193" s="123" t="str">
        <f t="shared" si="85"/>
        <v/>
      </c>
      <c r="AE193" s="123" t="str">
        <f t="shared" si="86"/>
        <v/>
      </c>
      <c r="AF193" s="123" t="str">
        <f t="shared" si="87"/>
        <v/>
      </c>
      <c r="AG193" s="123" t="str">
        <f t="shared" si="88"/>
        <v/>
      </c>
      <c r="AH193" s="115" t="str">
        <f t="shared" si="89"/>
        <v/>
      </c>
      <c r="AI193" s="115" t="str">
        <f t="shared" si="90"/>
        <v/>
      </c>
      <c r="AJ193" s="115" t="str">
        <f t="shared" si="91"/>
        <v/>
      </c>
      <c r="AK193" s="115" t="str">
        <f t="shared" si="92"/>
        <v/>
      </c>
      <c r="AL193" s="115" t="str">
        <f t="shared" si="93"/>
        <v/>
      </c>
      <c r="AM193" s="115" t="str">
        <f t="shared" si="94"/>
        <v/>
      </c>
      <c r="AN193" s="115" t="str">
        <f t="shared" si="95"/>
        <v/>
      </c>
      <c r="AO193" s="3"/>
      <c r="AP193" s="3"/>
      <c r="AQ193" s="3"/>
      <c r="AR193" s="3"/>
      <c r="AS193" s="3"/>
      <c r="AT193" s="3"/>
      <c r="AU193" s="3"/>
      <c r="AZ193" s="1"/>
      <c r="BA193" s="1"/>
      <c r="BB193" s="1"/>
      <c r="BC193" s="1"/>
      <c r="BD193" s="1"/>
      <c r="BE193" s="1"/>
      <c r="BF193" s="1"/>
    </row>
    <row r="194" spans="1:58">
      <c r="A194" s="109">
        <v>70</v>
      </c>
      <c r="B194" s="114" t="str">
        <f>VLOOKUP(A194,P_DIS!$B$32:$Q$263,12)</f>
        <v>-</v>
      </c>
      <c r="C194" s="114" t="str">
        <f>VLOOKUP(A194,P_DIS!$B$32:$Q$263,13)</f>
        <v>-</v>
      </c>
      <c r="D194" s="114" t="str">
        <f>VLOOKUP(A194,P_DIS!$B$32:$Q$263,15)</f>
        <v>-</v>
      </c>
      <c r="E194" s="114" t="str">
        <f>VLOOKUP(A194,P_DIS!$B$32:$Q$263,14)</f>
        <v>-</v>
      </c>
      <c r="F194" s="114">
        <f>VLOOKUP(A194,P_DIS!$B$32:$Q$263,10)</f>
        <v>0</v>
      </c>
      <c r="G194" s="114" t="str">
        <f>VLOOKUP(A194,P_DIS!$B$32:$Q$263,11)</f>
        <v>-</v>
      </c>
      <c r="H194" s="114" t="str">
        <f>VLOOKUP(A194,P_DIS!$B$32:$Q$263,16)</f>
        <v>-</v>
      </c>
      <c r="I194" s="115" t="str">
        <f t="shared" si="73"/>
        <v/>
      </c>
      <c r="J194" s="116" t="str">
        <f t="shared" si="74"/>
        <v/>
      </c>
      <c r="K194" s="117" t="str">
        <f t="shared" si="75"/>
        <v/>
      </c>
      <c r="L194" s="118" t="str">
        <f t="shared" si="76"/>
        <v/>
      </c>
      <c r="M194" s="118" t="str">
        <f t="shared" si="77"/>
        <v/>
      </c>
      <c r="N194" s="118" t="str">
        <f t="shared" si="78"/>
        <v/>
      </c>
      <c r="O194" s="118" t="str">
        <f t="shared" si="79"/>
        <v/>
      </c>
      <c r="P194" s="118" t="str">
        <f t="shared" si="80"/>
        <v/>
      </c>
      <c r="Q194" s="118" t="str">
        <f t="shared" si="81"/>
        <v/>
      </c>
      <c r="R194" s="118" t="str">
        <f t="shared" si="82"/>
        <v/>
      </c>
      <c r="S194" s="118" t="str">
        <f t="shared" si="83"/>
        <v/>
      </c>
      <c r="T194" s="119" t="str">
        <f t="shared" si="66"/>
        <v/>
      </c>
      <c r="U194" s="119" t="str">
        <f t="shared" si="67"/>
        <v/>
      </c>
      <c r="V194" s="120" t="str">
        <f t="shared" si="68"/>
        <v/>
      </c>
      <c r="W194" s="120" t="str">
        <f t="shared" si="69"/>
        <v/>
      </c>
      <c r="X194" s="120" t="str">
        <f t="shared" si="70"/>
        <v/>
      </c>
      <c r="Y194" s="121" t="str">
        <f t="shared" si="71"/>
        <v/>
      </c>
      <c r="Z194" s="121" t="str">
        <f t="shared" si="72"/>
        <v/>
      </c>
      <c r="AA194" s="122">
        <v>1</v>
      </c>
      <c r="AB194" s="123">
        <v>1</v>
      </c>
      <c r="AC194" s="123" t="str">
        <f t="shared" si="84"/>
        <v/>
      </c>
      <c r="AD194" s="123" t="str">
        <f t="shared" si="85"/>
        <v/>
      </c>
      <c r="AE194" s="123" t="str">
        <f t="shared" si="86"/>
        <v/>
      </c>
      <c r="AF194" s="123" t="str">
        <f t="shared" si="87"/>
        <v/>
      </c>
      <c r="AG194" s="123" t="str">
        <f t="shared" si="88"/>
        <v/>
      </c>
      <c r="AH194" s="115" t="str">
        <f t="shared" si="89"/>
        <v/>
      </c>
      <c r="AI194" s="115" t="str">
        <f t="shared" si="90"/>
        <v/>
      </c>
      <c r="AJ194" s="115" t="str">
        <f t="shared" si="91"/>
        <v/>
      </c>
      <c r="AK194" s="115" t="str">
        <f t="shared" si="92"/>
        <v/>
      </c>
      <c r="AL194" s="115" t="str">
        <f t="shared" si="93"/>
        <v/>
      </c>
      <c r="AM194" s="115" t="str">
        <f t="shared" si="94"/>
        <v/>
      </c>
      <c r="AN194" s="115" t="str">
        <f t="shared" si="95"/>
        <v/>
      </c>
      <c r="AO194" s="3"/>
      <c r="AP194" s="3"/>
      <c r="AQ194" s="3"/>
      <c r="AR194" s="3"/>
      <c r="AS194" s="3"/>
      <c r="AT194" s="3"/>
      <c r="AU194" s="3"/>
      <c r="AZ194" s="1"/>
      <c r="BA194" s="1"/>
      <c r="BB194" s="1"/>
      <c r="BC194" s="1"/>
      <c r="BD194" s="1"/>
      <c r="BE194" s="1"/>
      <c r="BF194" s="1"/>
    </row>
    <row r="195" spans="1:58">
      <c r="A195" s="109">
        <v>71</v>
      </c>
      <c r="B195" s="114" t="str">
        <f>VLOOKUP(A195,P_DIS!$B$32:$Q$263,12)</f>
        <v>-</v>
      </c>
      <c r="C195" s="114" t="str">
        <f>VLOOKUP(A195,P_DIS!$B$32:$Q$263,13)</f>
        <v>-</v>
      </c>
      <c r="D195" s="114" t="str">
        <f>VLOOKUP(A195,P_DIS!$B$32:$Q$263,15)</f>
        <v>-</v>
      </c>
      <c r="E195" s="114" t="str">
        <f>VLOOKUP(A195,P_DIS!$B$32:$Q$263,14)</f>
        <v>-</v>
      </c>
      <c r="F195" s="114">
        <f>VLOOKUP(A195,P_DIS!$B$32:$Q$263,10)</f>
        <v>0</v>
      </c>
      <c r="G195" s="114" t="str">
        <f>VLOOKUP(A195,P_DIS!$B$32:$Q$263,11)</f>
        <v>-</v>
      </c>
      <c r="H195" s="114" t="str">
        <f>VLOOKUP(A195,P_DIS!$B$32:$Q$263,16)</f>
        <v>-</v>
      </c>
      <c r="I195" s="115" t="str">
        <f t="shared" si="73"/>
        <v/>
      </c>
      <c r="J195" s="116" t="str">
        <f t="shared" si="74"/>
        <v/>
      </c>
      <c r="K195" s="117" t="str">
        <f t="shared" si="75"/>
        <v/>
      </c>
      <c r="L195" s="118" t="str">
        <f t="shared" si="76"/>
        <v/>
      </c>
      <c r="M195" s="118" t="str">
        <f t="shared" si="77"/>
        <v/>
      </c>
      <c r="N195" s="118" t="str">
        <f t="shared" si="78"/>
        <v/>
      </c>
      <c r="O195" s="118" t="str">
        <f t="shared" si="79"/>
        <v/>
      </c>
      <c r="P195" s="118" t="str">
        <f t="shared" si="80"/>
        <v/>
      </c>
      <c r="Q195" s="118" t="str">
        <f t="shared" si="81"/>
        <v/>
      </c>
      <c r="R195" s="118" t="str">
        <f t="shared" si="82"/>
        <v/>
      </c>
      <c r="S195" s="118" t="str">
        <f t="shared" si="83"/>
        <v/>
      </c>
      <c r="T195" s="119" t="str">
        <f t="shared" si="66"/>
        <v/>
      </c>
      <c r="U195" s="119" t="str">
        <f t="shared" si="67"/>
        <v/>
      </c>
      <c r="V195" s="120" t="str">
        <f t="shared" si="68"/>
        <v/>
      </c>
      <c r="W195" s="120" t="str">
        <f t="shared" si="69"/>
        <v/>
      </c>
      <c r="X195" s="120" t="str">
        <f t="shared" si="70"/>
        <v/>
      </c>
      <c r="Y195" s="121" t="str">
        <f t="shared" si="71"/>
        <v/>
      </c>
      <c r="Z195" s="121" t="str">
        <f t="shared" si="72"/>
        <v/>
      </c>
      <c r="AA195" s="122">
        <v>1</v>
      </c>
      <c r="AB195" s="123">
        <v>1</v>
      </c>
      <c r="AC195" s="123" t="str">
        <f t="shared" si="84"/>
        <v/>
      </c>
      <c r="AD195" s="123" t="str">
        <f t="shared" si="85"/>
        <v/>
      </c>
      <c r="AE195" s="123" t="str">
        <f t="shared" si="86"/>
        <v/>
      </c>
      <c r="AF195" s="123" t="str">
        <f t="shared" si="87"/>
        <v/>
      </c>
      <c r="AG195" s="123" t="str">
        <f t="shared" si="88"/>
        <v/>
      </c>
      <c r="AH195" s="115" t="str">
        <f t="shared" si="89"/>
        <v/>
      </c>
      <c r="AI195" s="115" t="str">
        <f t="shared" si="90"/>
        <v/>
      </c>
      <c r="AJ195" s="115" t="str">
        <f t="shared" si="91"/>
        <v/>
      </c>
      <c r="AK195" s="115" t="str">
        <f t="shared" si="92"/>
        <v/>
      </c>
      <c r="AL195" s="115" t="str">
        <f t="shared" si="93"/>
        <v/>
      </c>
      <c r="AM195" s="115" t="str">
        <f t="shared" si="94"/>
        <v/>
      </c>
      <c r="AN195" s="115" t="str">
        <f t="shared" si="95"/>
        <v/>
      </c>
      <c r="AO195" s="3"/>
      <c r="AP195" s="3"/>
      <c r="AQ195" s="3"/>
      <c r="AR195" s="3"/>
      <c r="AS195" s="3"/>
      <c r="AT195" s="3"/>
      <c r="AU195" s="3"/>
      <c r="AZ195" s="1"/>
      <c r="BA195" s="1"/>
      <c r="BB195" s="1"/>
      <c r="BC195" s="1"/>
      <c r="BD195" s="1"/>
      <c r="BE195" s="1"/>
      <c r="BF195" s="1"/>
    </row>
    <row r="196" spans="1:58">
      <c r="A196" s="109">
        <v>72</v>
      </c>
      <c r="B196" s="114" t="str">
        <f>VLOOKUP(A196,P_DIS!$B$32:$Q$263,12)</f>
        <v>-</v>
      </c>
      <c r="C196" s="114" t="str">
        <f>VLOOKUP(A196,P_DIS!$B$32:$Q$263,13)</f>
        <v>-</v>
      </c>
      <c r="D196" s="114" t="str">
        <f>VLOOKUP(A196,P_DIS!$B$32:$Q$263,15)</f>
        <v>-</v>
      </c>
      <c r="E196" s="114" t="str">
        <f>VLOOKUP(A196,P_DIS!$B$32:$Q$263,14)</f>
        <v>-</v>
      </c>
      <c r="F196" s="114">
        <f>VLOOKUP(A196,P_DIS!$B$32:$Q$263,10)</f>
        <v>0</v>
      </c>
      <c r="G196" s="114" t="str">
        <f>VLOOKUP(A196,P_DIS!$B$32:$Q$263,11)</f>
        <v>-</v>
      </c>
      <c r="H196" s="114" t="str">
        <f>VLOOKUP(A196,P_DIS!$B$32:$Q$263,16)</f>
        <v>-</v>
      </c>
      <c r="I196" s="115" t="str">
        <f t="shared" si="73"/>
        <v/>
      </c>
      <c r="J196" s="116" t="str">
        <f t="shared" si="74"/>
        <v/>
      </c>
      <c r="K196" s="117" t="str">
        <f t="shared" si="75"/>
        <v/>
      </c>
      <c r="L196" s="118" t="str">
        <f t="shared" si="76"/>
        <v/>
      </c>
      <c r="M196" s="118" t="str">
        <f t="shared" si="77"/>
        <v/>
      </c>
      <c r="N196" s="118" t="str">
        <f t="shared" si="78"/>
        <v/>
      </c>
      <c r="O196" s="118" t="str">
        <f t="shared" si="79"/>
        <v/>
      </c>
      <c r="P196" s="118" t="str">
        <f t="shared" si="80"/>
        <v/>
      </c>
      <c r="Q196" s="118" t="str">
        <f t="shared" si="81"/>
        <v/>
      </c>
      <c r="R196" s="118" t="str">
        <f t="shared" si="82"/>
        <v/>
      </c>
      <c r="S196" s="118" t="str">
        <f t="shared" si="83"/>
        <v/>
      </c>
      <c r="T196" s="119" t="str">
        <f t="shared" si="66"/>
        <v/>
      </c>
      <c r="U196" s="119" t="str">
        <f t="shared" si="67"/>
        <v/>
      </c>
      <c r="V196" s="120" t="str">
        <f t="shared" si="68"/>
        <v/>
      </c>
      <c r="W196" s="120" t="str">
        <f t="shared" si="69"/>
        <v/>
      </c>
      <c r="X196" s="120" t="str">
        <f t="shared" si="70"/>
        <v/>
      </c>
      <c r="Y196" s="121" t="str">
        <f t="shared" si="71"/>
        <v/>
      </c>
      <c r="Z196" s="121" t="str">
        <f t="shared" si="72"/>
        <v/>
      </c>
      <c r="AA196" s="122">
        <v>1</v>
      </c>
      <c r="AB196" s="123">
        <v>1</v>
      </c>
      <c r="AC196" s="123" t="str">
        <f t="shared" si="84"/>
        <v/>
      </c>
      <c r="AD196" s="123" t="str">
        <f t="shared" si="85"/>
        <v/>
      </c>
      <c r="AE196" s="123" t="str">
        <f t="shared" si="86"/>
        <v/>
      </c>
      <c r="AF196" s="123" t="str">
        <f t="shared" si="87"/>
        <v/>
      </c>
      <c r="AG196" s="123" t="str">
        <f t="shared" si="88"/>
        <v/>
      </c>
      <c r="AH196" s="115" t="str">
        <f t="shared" si="89"/>
        <v/>
      </c>
      <c r="AI196" s="115" t="str">
        <f t="shared" si="90"/>
        <v/>
      </c>
      <c r="AJ196" s="115" t="str">
        <f t="shared" si="91"/>
        <v/>
      </c>
      <c r="AK196" s="115" t="str">
        <f t="shared" si="92"/>
        <v/>
      </c>
      <c r="AL196" s="115" t="str">
        <f t="shared" si="93"/>
        <v/>
      </c>
      <c r="AM196" s="115" t="str">
        <f t="shared" si="94"/>
        <v/>
      </c>
      <c r="AN196" s="115" t="str">
        <f t="shared" si="95"/>
        <v/>
      </c>
      <c r="AO196" s="3"/>
      <c r="AP196" s="3"/>
      <c r="AQ196" s="3"/>
      <c r="AR196" s="3"/>
      <c r="AS196" s="3"/>
      <c r="AT196" s="3"/>
      <c r="AU196" s="3"/>
      <c r="AZ196" s="1"/>
      <c r="BA196" s="1"/>
      <c r="BB196" s="1"/>
      <c r="BC196" s="1"/>
      <c r="BD196" s="1"/>
      <c r="BE196" s="1"/>
      <c r="BF196" s="1"/>
    </row>
    <row r="197" spans="1:58">
      <c r="A197" s="109">
        <v>73</v>
      </c>
      <c r="B197" s="114" t="str">
        <f>VLOOKUP(A197,P_DIS!$B$32:$Q$263,12)</f>
        <v>-</v>
      </c>
      <c r="C197" s="114" t="str">
        <f>VLOOKUP(A197,P_DIS!$B$32:$Q$263,13)</f>
        <v>-</v>
      </c>
      <c r="D197" s="114" t="str">
        <f>VLOOKUP(A197,P_DIS!$B$32:$Q$263,15)</f>
        <v>-</v>
      </c>
      <c r="E197" s="114" t="str">
        <f>VLOOKUP(A197,P_DIS!$B$32:$Q$263,14)</f>
        <v>-</v>
      </c>
      <c r="F197" s="114">
        <f>VLOOKUP(A197,P_DIS!$B$32:$Q$263,10)</f>
        <v>0</v>
      </c>
      <c r="G197" s="114" t="str">
        <f>VLOOKUP(A197,P_DIS!$B$32:$Q$263,11)</f>
        <v>-</v>
      </c>
      <c r="H197" s="114" t="str">
        <f>VLOOKUP(A197,P_DIS!$B$32:$Q$263,16)</f>
        <v>-</v>
      </c>
      <c r="I197" s="115" t="str">
        <f t="shared" si="73"/>
        <v/>
      </c>
      <c r="J197" s="116" t="str">
        <f t="shared" si="74"/>
        <v/>
      </c>
      <c r="K197" s="117" t="str">
        <f t="shared" si="75"/>
        <v/>
      </c>
      <c r="L197" s="118" t="str">
        <f t="shared" si="76"/>
        <v/>
      </c>
      <c r="M197" s="118" t="str">
        <f t="shared" si="77"/>
        <v/>
      </c>
      <c r="N197" s="118" t="str">
        <f t="shared" si="78"/>
        <v/>
      </c>
      <c r="O197" s="118" t="str">
        <f t="shared" si="79"/>
        <v/>
      </c>
      <c r="P197" s="118" t="str">
        <f t="shared" si="80"/>
        <v/>
      </c>
      <c r="Q197" s="118" t="str">
        <f t="shared" si="81"/>
        <v/>
      </c>
      <c r="R197" s="118" t="str">
        <f t="shared" si="82"/>
        <v/>
      </c>
      <c r="S197" s="118" t="str">
        <f t="shared" si="83"/>
        <v/>
      </c>
      <c r="T197" s="119" t="str">
        <f t="shared" si="66"/>
        <v/>
      </c>
      <c r="U197" s="119" t="str">
        <f t="shared" si="67"/>
        <v/>
      </c>
      <c r="V197" s="120" t="str">
        <f t="shared" si="68"/>
        <v/>
      </c>
      <c r="W197" s="120" t="str">
        <f t="shared" si="69"/>
        <v/>
      </c>
      <c r="X197" s="120" t="str">
        <f t="shared" si="70"/>
        <v/>
      </c>
      <c r="Y197" s="121" t="str">
        <f t="shared" si="71"/>
        <v/>
      </c>
      <c r="Z197" s="121" t="str">
        <f t="shared" si="72"/>
        <v/>
      </c>
      <c r="AA197" s="122">
        <v>1</v>
      </c>
      <c r="AB197" s="123">
        <v>1</v>
      </c>
      <c r="AC197" s="123" t="str">
        <f t="shared" si="84"/>
        <v/>
      </c>
      <c r="AD197" s="123" t="str">
        <f t="shared" si="85"/>
        <v/>
      </c>
      <c r="AE197" s="123" t="str">
        <f t="shared" si="86"/>
        <v/>
      </c>
      <c r="AF197" s="123" t="str">
        <f t="shared" si="87"/>
        <v/>
      </c>
      <c r="AG197" s="123" t="str">
        <f t="shared" si="88"/>
        <v/>
      </c>
      <c r="AH197" s="115" t="str">
        <f t="shared" si="89"/>
        <v/>
      </c>
      <c r="AI197" s="115" t="str">
        <f t="shared" si="90"/>
        <v/>
      </c>
      <c r="AJ197" s="115" t="str">
        <f t="shared" si="91"/>
        <v/>
      </c>
      <c r="AK197" s="115" t="str">
        <f t="shared" si="92"/>
        <v/>
      </c>
      <c r="AL197" s="115" t="str">
        <f t="shared" si="93"/>
        <v/>
      </c>
      <c r="AM197" s="115" t="str">
        <f t="shared" si="94"/>
        <v/>
      </c>
      <c r="AN197" s="115" t="str">
        <f t="shared" si="95"/>
        <v/>
      </c>
      <c r="AO197" s="3"/>
      <c r="AP197" s="3"/>
      <c r="AQ197" s="3"/>
      <c r="AR197" s="3"/>
      <c r="AS197" s="3"/>
      <c r="AT197" s="3"/>
      <c r="AU197" s="3"/>
      <c r="AZ197" s="1"/>
      <c r="BA197" s="1"/>
      <c r="BB197" s="1"/>
      <c r="BC197" s="1"/>
      <c r="BD197" s="1"/>
      <c r="BE197" s="1"/>
      <c r="BF197" s="1"/>
    </row>
    <row r="198" spans="1:58">
      <c r="A198" s="109">
        <v>74</v>
      </c>
      <c r="B198" s="114" t="str">
        <f>VLOOKUP(A198,P_DIS!$B$32:$Q$263,12)</f>
        <v>-</v>
      </c>
      <c r="C198" s="114" t="str">
        <f>VLOOKUP(A198,P_DIS!$B$32:$Q$263,13)</f>
        <v>-</v>
      </c>
      <c r="D198" s="114" t="str">
        <f>VLOOKUP(A198,P_DIS!$B$32:$Q$263,15)</f>
        <v>-</v>
      </c>
      <c r="E198" s="114" t="str">
        <f>VLOOKUP(A198,P_DIS!$B$32:$Q$263,14)</f>
        <v>-</v>
      </c>
      <c r="F198" s="114">
        <f>VLOOKUP(A198,P_DIS!$B$32:$Q$263,10)</f>
        <v>0</v>
      </c>
      <c r="G198" s="114" t="str">
        <f>VLOOKUP(A198,P_DIS!$B$32:$Q$263,11)</f>
        <v>-</v>
      </c>
      <c r="H198" s="114" t="str">
        <f>VLOOKUP(A198,P_DIS!$B$32:$Q$263,16)</f>
        <v>-</v>
      </c>
      <c r="I198" s="115" t="str">
        <f t="shared" si="73"/>
        <v/>
      </c>
      <c r="J198" s="116" t="str">
        <f t="shared" si="74"/>
        <v/>
      </c>
      <c r="K198" s="117" t="str">
        <f t="shared" si="75"/>
        <v/>
      </c>
      <c r="L198" s="118" t="str">
        <f t="shared" si="76"/>
        <v/>
      </c>
      <c r="M198" s="118" t="str">
        <f t="shared" si="77"/>
        <v/>
      </c>
      <c r="N198" s="118" t="str">
        <f t="shared" si="78"/>
        <v/>
      </c>
      <c r="O198" s="118" t="str">
        <f t="shared" si="79"/>
        <v/>
      </c>
      <c r="P198" s="118" t="str">
        <f t="shared" si="80"/>
        <v/>
      </c>
      <c r="Q198" s="118" t="str">
        <f t="shared" si="81"/>
        <v/>
      </c>
      <c r="R198" s="118" t="str">
        <f t="shared" si="82"/>
        <v/>
      </c>
      <c r="S198" s="118" t="str">
        <f t="shared" si="83"/>
        <v/>
      </c>
      <c r="T198" s="119" t="str">
        <f t="shared" si="66"/>
        <v/>
      </c>
      <c r="U198" s="119" t="str">
        <f t="shared" si="67"/>
        <v/>
      </c>
      <c r="V198" s="120" t="str">
        <f t="shared" si="68"/>
        <v/>
      </c>
      <c r="W198" s="120" t="str">
        <f t="shared" si="69"/>
        <v/>
      </c>
      <c r="X198" s="120" t="str">
        <f t="shared" si="70"/>
        <v/>
      </c>
      <c r="Y198" s="121" t="str">
        <f t="shared" si="71"/>
        <v/>
      </c>
      <c r="Z198" s="121" t="str">
        <f t="shared" si="72"/>
        <v/>
      </c>
      <c r="AA198" s="122">
        <v>1</v>
      </c>
      <c r="AB198" s="123">
        <v>1</v>
      </c>
      <c r="AC198" s="123" t="str">
        <f t="shared" si="84"/>
        <v/>
      </c>
      <c r="AD198" s="123" t="str">
        <f t="shared" si="85"/>
        <v/>
      </c>
      <c r="AE198" s="123" t="str">
        <f t="shared" si="86"/>
        <v/>
      </c>
      <c r="AF198" s="123" t="str">
        <f t="shared" si="87"/>
        <v/>
      </c>
      <c r="AG198" s="123" t="str">
        <f t="shared" si="88"/>
        <v/>
      </c>
      <c r="AH198" s="115" t="str">
        <f t="shared" si="89"/>
        <v/>
      </c>
      <c r="AI198" s="115" t="str">
        <f t="shared" si="90"/>
        <v/>
      </c>
      <c r="AJ198" s="115" t="str">
        <f t="shared" si="91"/>
        <v/>
      </c>
      <c r="AK198" s="115" t="str">
        <f t="shared" si="92"/>
        <v/>
      </c>
      <c r="AL198" s="115" t="str">
        <f t="shared" si="93"/>
        <v/>
      </c>
      <c r="AM198" s="115" t="str">
        <f t="shared" si="94"/>
        <v/>
      </c>
      <c r="AN198" s="115" t="str">
        <f t="shared" si="95"/>
        <v/>
      </c>
      <c r="AO198" s="3"/>
      <c r="AP198" s="3"/>
      <c r="AQ198" s="3"/>
      <c r="AR198" s="3"/>
      <c r="AS198" s="3"/>
      <c r="AT198" s="3"/>
      <c r="AU198" s="3"/>
      <c r="AZ198" s="1"/>
      <c r="BA198" s="1"/>
      <c r="BB198" s="1"/>
      <c r="BC198" s="1"/>
      <c r="BD198" s="1"/>
      <c r="BE198" s="1"/>
      <c r="BF198" s="1"/>
    </row>
    <row r="199" spans="1:58">
      <c r="A199" s="109">
        <v>75</v>
      </c>
      <c r="B199" s="114" t="str">
        <f>VLOOKUP(A199,P_DIS!$B$32:$Q$263,12)</f>
        <v>-</v>
      </c>
      <c r="C199" s="114" t="str">
        <f>VLOOKUP(A199,P_DIS!$B$32:$Q$263,13)</f>
        <v>-</v>
      </c>
      <c r="D199" s="114" t="str">
        <f>VLOOKUP(A199,P_DIS!$B$32:$Q$263,15)</f>
        <v>-</v>
      </c>
      <c r="E199" s="114" t="str">
        <f>VLOOKUP(A199,P_DIS!$B$32:$Q$263,14)</f>
        <v>-</v>
      </c>
      <c r="F199" s="114">
        <f>VLOOKUP(A199,P_DIS!$B$32:$Q$263,10)</f>
        <v>0</v>
      </c>
      <c r="G199" s="114" t="str">
        <f>VLOOKUP(A199,P_DIS!$B$32:$Q$263,11)</f>
        <v>-</v>
      </c>
      <c r="H199" s="114" t="str">
        <f>VLOOKUP(A199,P_DIS!$B$32:$Q$263,16)</f>
        <v>-</v>
      </c>
      <c r="I199" s="115" t="str">
        <f t="shared" si="73"/>
        <v/>
      </c>
      <c r="J199" s="116" t="str">
        <f t="shared" si="74"/>
        <v/>
      </c>
      <c r="K199" s="117" t="str">
        <f t="shared" si="75"/>
        <v/>
      </c>
      <c r="L199" s="118" t="str">
        <f t="shared" si="76"/>
        <v/>
      </c>
      <c r="M199" s="118" t="str">
        <f t="shared" si="77"/>
        <v/>
      </c>
      <c r="N199" s="118" t="str">
        <f t="shared" si="78"/>
        <v/>
      </c>
      <c r="O199" s="118" t="str">
        <f t="shared" si="79"/>
        <v/>
      </c>
      <c r="P199" s="118" t="str">
        <f t="shared" si="80"/>
        <v/>
      </c>
      <c r="Q199" s="118" t="str">
        <f t="shared" si="81"/>
        <v/>
      </c>
      <c r="R199" s="118" t="str">
        <f t="shared" si="82"/>
        <v/>
      </c>
      <c r="S199" s="118" t="str">
        <f t="shared" si="83"/>
        <v/>
      </c>
      <c r="T199" s="119" t="str">
        <f t="shared" si="66"/>
        <v/>
      </c>
      <c r="U199" s="119" t="str">
        <f t="shared" si="67"/>
        <v/>
      </c>
      <c r="V199" s="120" t="str">
        <f t="shared" si="68"/>
        <v/>
      </c>
      <c r="W199" s="120" t="str">
        <f t="shared" si="69"/>
        <v/>
      </c>
      <c r="X199" s="120" t="str">
        <f t="shared" si="70"/>
        <v/>
      </c>
      <c r="Y199" s="121" t="str">
        <f t="shared" si="71"/>
        <v/>
      </c>
      <c r="Z199" s="121" t="str">
        <f t="shared" si="72"/>
        <v/>
      </c>
      <c r="AA199" s="122">
        <v>1</v>
      </c>
      <c r="AB199" s="123">
        <v>1</v>
      </c>
      <c r="AC199" s="123" t="str">
        <f t="shared" si="84"/>
        <v/>
      </c>
      <c r="AD199" s="123" t="str">
        <f t="shared" si="85"/>
        <v/>
      </c>
      <c r="AE199" s="123" t="str">
        <f t="shared" si="86"/>
        <v/>
      </c>
      <c r="AF199" s="123" t="str">
        <f t="shared" si="87"/>
        <v/>
      </c>
      <c r="AG199" s="123" t="str">
        <f t="shared" si="88"/>
        <v/>
      </c>
      <c r="AH199" s="115" t="str">
        <f t="shared" si="89"/>
        <v/>
      </c>
      <c r="AI199" s="115" t="str">
        <f t="shared" si="90"/>
        <v/>
      </c>
      <c r="AJ199" s="115" t="str">
        <f t="shared" si="91"/>
        <v/>
      </c>
      <c r="AK199" s="115" t="str">
        <f t="shared" si="92"/>
        <v/>
      </c>
      <c r="AL199" s="115" t="str">
        <f t="shared" si="93"/>
        <v/>
      </c>
      <c r="AM199" s="115" t="str">
        <f t="shared" si="94"/>
        <v/>
      </c>
      <c r="AN199" s="115" t="str">
        <f t="shared" si="95"/>
        <v/>
      </c>
      <c r="AO199" s="3"/>
      <c r="AP199" s="3"/>
      <c r="AQ199" s="3"/>
      <c r="AR199" s="3"/>
      <c r="AS199" s="3"/>
      <c r="AT199" s="3"/>
      <c r="AU199" s="3"/>
      <c r="AZ199" s="1"/>
      <c r="BA199" s="1"/>
      <c r="BB199" s="1"/>
      <c r="BC199" s="1"/>
      <c r="BD199" s="1"/>
      <c r="BE199" s="1"/>
      <c r="BF199" s="1"/>
    </row>
    <row r="200" spans="1:58">
      <c r="A200" s="109">
        <v>76</v>
      </c>
      <c r="B200" s="114" t="str">
        <f>VLOOKUP(A200,P_DIS!$B$32:$Q$263,12)</f>
        <v>-</v>
      </c>
      <c r="C200" s="114" t="str">
        <f>VLOOKUP(A200,P_DIS!$B$32:$Q$263,13)</f>
        <v>-</v>
      </c>
      <c r="D200" s="114" t="str">
        <f>VLOOKUP(A200,P_DIS!$B$32:$Q$263,15)</f>
        <v>-</v>
      </c>
      <c r="E200" s="114" t="str">
        <f>VLOOKUP(A200,P_DIS!$B$32:$Q$263,14)</f>
        <v>-</v>
      </c>
      <c r="F200" s="114">
        <f>VLOOKUP(A200,P_DIS!$B$32:$Q$263,10)</f>
        <v>0</v>
      </c>
      <c r="G200" s="114" t="str">
        <f>VLOOKUP(A200,P_DIS!$B$32:$Q$263,11)</f>
        <v>-</v>
      </c>
      <c r="H200" s="114" t="str">
        <f>VLOOKUP(A200,P_DIS!$B$32:$Q$263,16)</f>
        <v>-</v>
      </c>
      <c r="I200" s="115" t="str">
        <f t="shared" si="73"/>
        <v/>
      </c>
      <c r="J200" s="116" t="str">
        <f t="shared" si="74"/>
        <v/>
      </c>
      <c r="K200" s="117" t="str">
        <f t="shared" si="75"/>
        <v/>
      </c>
      <c r="L200" s="118" t="str">
        <f t="shared" si="76"/>
        <v/>
      </c>
      <c r="M200" s="118" t="str">
        <f t="shared" si="77"/>
        <v/>
      </c>
      <c r="N200" s="118" t="str">
        <f t="shared" si="78"/>
        <v/>
      </c>
      <c r="O200" s="118" t="str">
        <f t="shared" si="79"/>
        <v/>
      </c>
      <c r="P200" s="118" t="str">
        <f t="shared" si="80"/>
        <v/>
      </c>
      <c r="Q200" s="118" t="str">
        <f t="shared" si="81"/>
        <v/>
      </c>
      <c r="R200" s="118" t="str">
        <f t="shared" si="82"/>
        <v/>
      </c>
      <c r="S200" s="118" t="str">
        <f t="shared" si="83"/>
        <v/>
      </c>
      <c r="T200" s="119" t="str">
        <f t="shared" si="66"/>
        <v/>
      </c>
      <c r="U200" s="119" t="str">
        <f t="shared" si="67"/>
        <v/>
      </c>
      <c r="V200" s="120" t="str">
        <f t="shared" si="68"/>
        <v/>
      </c>
      <c r="W200" s="120" t="str">
        <f t="shared" si="69"/>
        <v/>
      </c>
      <c r="X200" s="120" t="str">
        <f t="shared" si="70"/>
        <v/>
      </c>
      <c r="Y200" s="121" t="str">
        <f t="shared" si="71"/>
        <v/>
      </c>
      <c r="Z200" s="121" t="str">
        <f t="shared" si="72"/>
        <v/>
      </c>
      <c r="AA200" s="122">
        <v>1</v>
      </c>
      <c r="AB200" s="123">
        <v>1</v>
      </c>
      <c r="AC200" s="123" t="str">
        <f t="shared" si="84"/>
        <v/>
      </c>
      <c r="AD200" s="123" t="str">
        <f t="shared" si="85"/>
        <v/>
      </c>
      <c r="AE200" s="123" t="str">
        <f t="shared" si="86"/>
        <v/>
      </c>
      <c r="AF200" s="123" t="str">
        <f t="shared" si="87"/>
        <v/>
      </c>
      <c r="AG200" s="123" t="str">
        <f t="shared" si="88"/>
        <v/>
      </c>
      <c r="AH200" s="115" t="str">
        <f t="shared" si="89"/>
        <v/>
      </c>
      <c r="AI200" s="115" t="str">
        <f t="shared" si="90"/>
        <v/>
      </c>
      <c r="AJ200" s="115" t="str">
        <f t="shared" si="91"/>
        <v/>
      </c>
      <c r="AK200" s="115" t="str">
        <f t="shared" si="92"/>
        <v/>
      </c>
      <c r="AL200" s="115" t="str">
        <f t="shared" si="93"/>
        <v/>
      </c>
      <c r="AM200" s="115" t="str">
        <f t="shared" si="94"/>
        <v/>
      </c>
      <c r="AN200" s="115" t="str">
        <f t="shared" si="95"/>
        <v/>
      </c>
      <c r="AO200" s="3"/>
      <c r="AP200" s="3"/>
      <c r="AQ200" s="3"/>
      <c r="AR200" s="3"/>
      <c r="AS200" s="3"/>
      <c r="AT200" s="3"/>
      <c r="AU200" s="3"/>
      <c r="AZ200" s="1"/>
      <c r="BA200" s="1"/>
      <c r="BB200" s="1"/>
      <c r="BC200" s="1"/>
      <c r="BD200" s="1"/>
      <c r="BE200" s="1"/>
      <c r="BF200" s="1"/>
    </row>
    <row r="201" spans="1:58">
      <c r="A201" s="109">
        <v>77</v>
      </c>
      <c r="B201" s="114" t="str">
        <f>VLOOKUP(A201,P_DIS!$B$32:$Q$263,12)</f>
        <v>-</v>
      </c>
      <c r="C201" s="114" t="str">
        <f>VLOOKUP(A201,P_DIS!$B$32:$Q$263,13)</f>
        <v>-</v>
      </c>
      <c r="D201" s="114" t="str">
        <f>VLOOKUP(A201,P_DIS!$B$32:$Q$263,15)</f>
        <v>-</v>
      </c>
      <c r="E201" s="114" t="str">
        <f>VLOOKUP(A201,P_DIS!$B$32:$Q$263,14)</f>
        <v>-</v>
      </c>
      <c r="F201" s="114">
        <f>VLOOKUP(A201,P_DIS!$B$32:$Q$263,10)</f>
        <v>0</v>
      </c>
      <c r="G201" s="114" t="str">
        <f>VLOOKUP(A201,P_DIS!$B$32:$Q$263,11)</f>
        <v>-</v>
      </c>
      <c r="H201" s="114" t="str">
        <f>VLOOKUP(A201,P_DIS!$B$32:$Q$263,16)</f>
        <v>-</v>
      </c>
      <c r="I201" s="115" t="str">
        <f t="shared" si="73"/>
        <v/>
      </c>
      <c r="J201" s="116" t="str">
        <f t="shared" si="74"/>
        <v/>
      </c>
      <c r="K201" s="117" t="str">
        <f t="shared" si="75"/>
        <v/>
      </c>
      <c r="L201" s="118" t="str">
        <f t="shared" si="76"/>
        <v/>
      </c>
      <c r="M201" s="118" t="str">
        <f t="shared" si="77"/>
        <v/>
      </c>
      <c r="N201" s="118" t="str">
        <f t="shared" si="78"/>
        <v/>
      </c>
      <c r="O201" s="118" t="str">
        <f t="shared" si="79"/>
        <v/>
      </c>
      <c r="P201" s="118" t="str">
        <f t="shared" si="80"/>
        <v/>
      </c>
      <c r="Q201" s="118" t="str">
        <f t="shared" si="81"/>
        <v/>
      </c>
      <c r="R201" s="118" t="str">
        <f t="shared" si="82"/>
        <v/>
      </c>
      <c r="S201" s="118" t="str">
        <f t="shared" si="83"/>
        <v/>
      </c>
      <c r="T201" s="119" t="str">
        <f t="shared" si="66"/>
        <v/>
      </c>
      <c r="U201" s="119" t="str">
        <f t="shared" si="67"/>
        <v/>
      </c>
      <c r="V201" s="120" t="str">
        <f t="shared" si="68"/>
        <v/>
      </c>
      <c r="W201" s="120" t="str">
        <f t="shared" si="69"/>
        <v/>
      </c>
      <c r="X201" s="120" t="str">
        <f t="shared" si="70"/>
        <v/>
      </c>
      <c r="Y201" s="121" t="str">
        <f t="shared" si="71"/>
        <v/>
      </c>
      <c r="Z201" s="121" t="str">
        <f t="shared" si="72"/>
        <v/>
      </c>
      <c r="AA201" s="122">
        <v>1</v>
      </c>
      <c r="AB201" s="123">
        <v>1</v>
      </c>
      <c r="AC201" s="123" t="str">
        <f t="shared" si="84"/>
        <v/>
      </c>
      <c r="AD201" s="123" t="str">
        <f t="shared" si="85"/>
        <v/>
      </c>
      <c r="AE201" s="123" t="str">
        <f t="shared" si="86"/>
        <v/>
      </c>
      <c r="AF201" s="123" t="str">
        <f t="shared" si="87"/>
        <v/>
      </c>
      <c r="AG201" s="123" t="str">
        <f t="shared" si="88"/>
        <v/>
      </c>
      <c r="AH201" s="115" t="str">
        <f t="shared" si="89"/>
        <v/>
      </c>
      <c r="AI201" s="115" t="str">
        <f t="shared" si="90"/>
        <v/>
      </c>
      <c r="AJ201" s="115" t="str">
        <f t="shared" si="91"/>
        <v/>
      </c>
      <c r="AK201" s="115" t="str">
        <f t="shared" si="92"/>
        <v/>
      </c>
      <c r="AL201" s="115" t="str">
        <f t="shared" si="93"/>
        <v/>
      </c>
      <c r="AM201" s="115" t="str">
        <f t="shared" si="94"/>
        <v/>
      </c>
      <c r="AN201" s="115" t="str">
        <f t="shared" si="95"/>
        <v/>
      </c>
      <c r="AO201" s="3"/>
      <c r="AP201" s="3"/>
      <c r="AQ201" s="3"/>
      <c r="AR201" s="3"/>
      <c r="AS201" s="3"/>
      <c r="AT201" s="3"/>
      <c r="AU201" s="3"/>
      <c r="AZ201" s="1"/>
      <c r="BA201" s="1"/>
      <c r="BB201" s="1"/>
      <c r="BC201" s="1"/>
      <c r="BD201" s="1"/>
      <c r="BE201" s="1"/>
      <c r="BF201" s="1"/>
    </row>
    <row r="202" spans="1:58">
      <c r="A202" s="109">
        <v>78</v>
      </c>
      <c r="B202" s="114" t="str">
        <f>VLOOKUP(A202,P_DIS!$B$32:$Q$263,12)</f>
        <v>-</v>
      </c>
      <c r="C202" s="114" t="str">
        <f>VLOOKUP(A202,P_DIS!$B$32:$Q$263,13)</f>
        <v>-</v>
      </c>
      <c r="D202" s="114" t="str">
        <f>VLOOKUP(A202,P_DIS!$B$32:$Q$263,15)</f>
        <v>-</v>
      </c>
      <c r="E202" s="114" t="str">
        <f>VLOOKUP(A202,P_DIS!$B$32:$Q$263,14)</f>
        <v>-</v>
      </c>
      <c r="F202" s="114">
        <f>VLOOKUP(A202,P_DIS!$B$32:$Q$263,10)</f>
        <v>0</v>
      </c>
      <c r="G202" s="114" t="str">
        <f>VLOOKUP(A202,P_DIS!$B$32:$Q$263,11)</f>
        <v>-</v>
      </c>
      <c r="H202" s="114" t="str">
        <f>VLOOKUP(A202,P_DIS!$B$32:$Q$263,16)</f>
        <v>-</v>
      </c>
      <c r="I202" s="115" t="str">
        <f t="shared" si="73"/>
        <v/>
      </c>
      <c r="J202" s="116" t="str">
        <f t="shared" si="74"/>
        <v/>
      </c>
      <c r="K202" s="117" t="str">
        <f t="shared" si="75"/>
        <v/>
      </c>
      <c r="L202" s="118" t="str">
        <f t="shared" si="76"/>
        <v/>
      </c>
      <c r="M202" s="118" t="str">
        <f t="shared" si="77"/>
        <v/>
      </c>
      <c r="N202" s="118" t="str">
        <f t="shared" si="78"/>
        <v/>
      </c>
      <c r="O202" s="118" t="str">
        <f t="shared" si="79"/>
        <v/>
      </c>
      <c r="P202" s="118" t="str">
        <f t="shared" si="80"/>
        <v/>
      </c>
      <c r="Q202" s="118" t="str">
        <f t="shared" si="81"/>
        <v/>
      </c>
      <c r="R202" s="118" t="str">
        <f t="shared" si="82"/>
        <v/>
      </c>
      <c r="S202" s="118" t="str">
        <f t="shared" si="83"/>
        <v/>
      </c>
      <c r="T202" s="119" t="str">
        <f t="shared" si="66"/>
        <v/>
      </c>
      <c r="U202" s="119" t="str">
        <f t="shared" si="67"/>
        <v/>
      </c>
      <c r="V202" s="120" t="str">
        <f t="shared" si="68"/>
        <v/>
      </c>
      <c r="W202" s="120" t="str">
        <f t="shared" si="69"/>
        <v/>
      </c>
      <c r="X202" s="120" t="str">
        <f t="shared" si="70"/>
        <v/>
      </c>
      <c r="Y202" s="121" t="str">
        <f t="shared" si="71"/>
        <v/>
      </c>
      <c r="Z202" s="121" t="str">
        <f t="shared" si="72"/>
        <v/>
      </c>
      <c r="AA202" s="122">
        <v>1</v>
      </c>
      <c r="AB202" s="123">
        <v>1</v>
      </c>
      <c r="AC202" s="123" t="str">
        <f t="shared" si="84"/>
        <v/>
      </c>
      <c r="AD202" s="123" t="str">
        <f t="shared" si="85"/>
        <v/>
      </c>
      <c r="AE202" s="123" t="str">
        <f t="shared" si="86"/>
        <v/>
      </c>
      <c r="AF202" s="123" t="str">
        <f t="shared" si="87"/>
        <v/>
      </c>
      <c r="AG202" s="123" t="str">
        <f t="shared" si="88"/>
        <v/>
      </c>
      <c r="AH202" s="115" t="str">
        <f t="shared" si="89"/>
        <v/>
      </c>
      <c r="AI202" s="115" t="str">
        <f t="shared" si="90"/>
        <v/>
      </c>
      <c r="AJ202" s="115" t="str">
        <f t="shared" si="91"/>
        <v/>
      </c>
      <c r="AK202" s="115" t="str">
        <f t="shared" si="92"/>
        <v/>
      </c>
      <c r="AL202" s="115" t="str">
        <f t="shared" si="93"/>
        <v/>
      </c>
      <c r="AM202" s="115" t="str">
        <f t="shared" si="94"/>
        <v/>
      </c>
      <c r="AN202" s="115" t="str">
        <f t="shared" si="95"/>
        <v/>
      </c>
      <c r="AO202" s="3"/>
      <c r="AP202" s="3"/>
      <c r="AQ202" s="3"/>
      <c r="AR202" s="3"/>
      <c r="AS202" s="3"/>
      <c r="AT202" s="3"/>
      <c r="AU202" s="3"/>
      <c r="AZ202" s="1"/>
      <c r="BA202" s="1"/>
      <c r="BB202" s="1"/>
      <c r="BC202" s="1"/>
      <c r="BD202" s="1"/>
      <c r="BE202" s="1"/>
      <c r="BF202" s="1"/>
    </row>
    <row r="203" spans="1:58">
      <c r="A203" s="109">
        <v>79</v>
      </c>
      <c r="B203" s="114" t="str">
        <f>VLOOKUP(A203,P_DIS!$B$32:$Q$263,12)</f>
        <v>-</v>
      </c>
      <c r="C203" s="114" t="str">
        <f>VLOOKUP(A203,P_DIS!$B$32:$Q$263,13)</f>
        <v>-</v>
      </c>
      <c r="D203" s="114" t="str">
        <f>VLOOKUP(A203,P_DIS!$B$32:$Q$263,15)</f>
        <v>-</v>
      </c>
      <c r="E203" s="114" t="str">
        <f>VLOOKUP(A203,P_DIS!$B$32:$Q$263,14)</f>
        <v>-</v>
      </c>
      <c r="F203" s="114">
        <f>VLOOKUP(A203,P_DIS!$B$32:$Q$263,10)</f>
        <v>0</v>
      </c>
      <c r="G203" s="114" t="str">
        <f>VLOOKUP(A203,P_DIS!$B$32:$Q$263,11)</f>
        <v>-</v>
      </c>
      <c r="H203" s="114" t="str">
        <f>VLOOKUP(A203,P_DIS!$B$32:$Q$263,16)</f>
        <v>-</v>
      </c>
      <c r="I203" s="115" t="str">
        <f t="shared" si="73"/>
        <v/>
      </c>
      <c r="J203" s="116" t="str">
        <f t="shared" si="74"/>
        <v/>
      </c>
      <c r="K203" s="117" t="str">
        <f t="shared" si="75"/>
        <v/>
      </c>
      <c r="L203" s="118" t="str">
        <f t="shared" si="76"/>
        <v/>
      </c>
      <c r="M203" s="118" t="str">
        <f t="shared" si="77"/>
        <v/>
      </c>
      <c r="N203" s="118" t="str">
        <f t="shared" si="78"/>
        <v/>
      </c>
      <c r="O203" s="118" t="str">
        <f t="shared" si="79"/>
        <v/>
      </c>
      <c r="P203" s="118" t="str">
        <f t="shared" si="80"/>
        <v/>
      </c>
      <c r="Q203" s="118" t="str">
        <f t="shared" si="81"/>
        <v/>
      </c>
      <c r="R203" s="118" t="str">
        <f t="shared" si="82"/>
        <v/>
      </c>
      <c r="S203" s="118" t="str">
        <f t="shared" si="83"/>
        <v/>
      </c>
      <c r="T203" s="119" t="str">
        <f t="shared" si="66"/>
        <v/>
      </c>
      <c r="U203" s="119" t="str">
        <f t="shared" si="67"/>
        <v/>
      </c>
      <c r="V203" s="120" t="str">
        <f t="shared" si="68"/>
        <v/>
      </c>
      <c r="W203" s="120" t="str">
        <f t="shared" si="69"/>
        <v/>
      </c>
      <c r="X203" s="120" t="str">
        <f t="shared" si="70"/>
        <v/>
      </c>
      <c r="Y203" s="121" t="str">
        <f t="shared" si="71"/>
        <v/>
      </c>
      <c r="Z203" s="121" t="str">
        <f t="shared" si="72"/>
        <v/>
      </c>
      <c r="AA203" s="122">
        <v>1</v>
      </c>
      <c r="AB203" s="123">
        <v>1</v>
      </c>
      <c r="AC203" s="123" t="str">
        <f t="shared" si="84"/>
        <v/>
      </c>
      <c r="AD203" s="123" t="str">
        <f t="shared" si="85"/>
        <v/>
      </c>
      <c r="AE203" s="123" t="str">
        <f t="shared" si="86"/>
        <v/>
      </c>
      <c r="AF203" s="123" t="str">
        <f t="shared" si="87"/>
        <v/>
      </c>
      <c r="AG203" s="123" t="str">
        <f t="shared" si="88"/>
        <v/>
      </c>
      <c r="AH203" s="115" t="str">
        <f t="shared" si="89"/>
        <v/>
      </c>
      <c r="AI203" s="115" t="str">
        <f t="shared" si="90"/>
        <v/>
      </c>
      <c r="AJ203" s="115" t="str">
        <f t="shared" si="91"/>
        <v/>
      </c>
      <c r="AK203" s="115" t="str">
        <f t="shared" si="92"/>
        <v/>
      </c>
      <c r="AL203" s="115" t="str">
        <f t="shared" si="93"/>
        <v/>
      </c>
      <c r="AM203" s="115" t="str">
        <f t="shared" si="94"/>
        <v/>
      </c>
      <c r="AN203" s="115" t="str">
        <f t="shared" si="95"/>
        <v/>
      </c>
      <c r="AO203" s="3"/>
      <c r="AP203" s="3"/>
      <c r="AQ203" s="3"/>
      <c r="AR203" s="3"/>
      <c r="AS203" s="3"/>
      <c r="AT203" s="3"/>
      <c r="AU203" s="3"/>
      <c r="AZ203" s="1"/>
      <c r="BA203" s="1"/>
      <c r="BB203" s="1"/>
      <c r="BC203" s="1"/>
      <c r="BD203" s="1"/>
      <c r="BE203" s="1"/>
      <c r="BF203" s="1"/>
    </row>
    <row r="204" spans="1:58">
      <c r="A204" s="109">
        <v>80</v>
      </c>
      <c r="B204" s="114" t="str">
        <f>VLOOKUP(A204,P_DIS!$B$32:$Q$263,12)</f>
        <v>-</v>
      </c>
      <c r="C204" s="114" t="str">
        <f>VLOOKUP(A204,P_DIS!$B$32:$Q$263,13)</f>
        <v>-</v>
      </c>
      <c r="D204" s="114" t="str">
        <f>VLOOKUP(A204,P_DIS!$B$32:$Q$263,15)</f>
        <v>-</v>
      </c>
      <c r="E204" s="114" t="str">
        <f>VLOOKUP(A204,P_DIS!$B$32:$Q$263,14)</f>
        <v>-</v>
      </c>
      <c r="F204" s="114">
        <f>VLOOKUP(A204,P_DIS!$B$32:$Q$263,10)</f>
        <v>0</v>
      </c>
      <c r="G204" s="114" t="str">
        <f>VLOOKUP(A204,P_DIS!$B$32:$Q$263,11)</f>
        <v>-</v>
      </c>
      <c r="H204" s="114" t="str">
        <f>VLOOKUP(A204,P_DIS!$B$32:$Q$263,16)</f>
        <v>-</v>
      </c>
      <c r="I204" s="115" t="str">
        <f t="shared" si="73"/>
        <v/>
      </c>
      <c r="J204" s="116" t="str">
        <f t="shared" si="74"/>
        <v/>
      </c>
      <c r="K204" s="117" t="str">
        <f t="shared" si="75"/>
        <v/>
      </c>
      <c r="L204" s="118" t="str">
        <f t="shared" si="76"/>
        <v/>
      </c>
      <c r="M204" s="118" t="str">
        <f t="shared" si="77"/>
        <v/>
      </c>
      <c r="N204" s="118" t="str">
        <f t="shared" si="78"/>
        <v/>
      </c>
      <c r="O204" s="118" t="str">
        <f t="shared" si="79"/>
        <v/>
      </c>
      <c r="P204" s="118" t="str">
        <f t="shared" si="80"/>
        <v/>
      </c>
      <c r="Q204" s="118" t="str">
        <f t="shared" si="81"/>
        <v/>
      </c>
      <c r="R204" s="118" t="str">
        <f t="shared" si="82"/>
        <v/>
      </c>
      <c r="S204" s="118" t="str">
        <f t="shared" si="83"/>
        <v/>
      </c>
      <c r="T204" s="119" t="str">
        <f t="shared" si="66"/>
        <v/>
      </c>
      <c r="U204" s="119" t="str">
        <f t="shared" si="67"/>
        <v/>
      </c>
      <c r="V204" s="120" t="str">
        <f t="shared" si="68"/>
        <v/>
      </c>
      <c r="W204" s="120" t="str">
        <f t="shared" si="69"/>
        <v/>
      </c>
      <c r="X204" s="120" t="str">
        <f t="shared" si="70"/>
        <v/>
      </c>
      <c r="Y204" s="121" t="str">
        <f t="shared" si="71"/>
        <v/>
      </c>
      <c r="Z204" s="121" t="str">
        <f t="shared" si="72"/>
        <v/>
      </c>
      <c r="AA204" s="122">
        <v>1</v>
      </c>
      <c r="AB204" s="123">
        <v>1</v>
      </c>
      <c r="AC204" s="123" t="str">
        <f t="shared" si="84"/>
        <v/>
      </c>
      <c r="AD204" s="123" t="str">
        <f t="shared" si="85"/>
        <v/>
      </c>
      <c r="AE204" s="123" t="str">
        <f t="shared" si="86"/>
        <v/>
      </c>
      <c r="AF204" s="123" t="str">
        <f t="shared" si="87"/>
        <v/>
      </c>
      <c r="AG204" s="123" t="str">
        <f t="shared" si="88"/>
        <v/>
      </c>
      <c r="AH204" s="115" t="str">
        <f t="shared" si="89"/>
        <v/>
      </c>
      <c r="AI204" s="115" t="str">
        <f t="shared" si="90"/>
        <v/>
      </c>
      <c r="AJ204" s="115" t="str">
        <f t="shared" si="91"/>
        <v/>
      </c>
      <c r="AK204" s="115" t="str">
        <f t="shared" si="92"/>
        <v/>
      </c>
      <c r="AL204" s="115" t="str">
        <f t="shared" si="93"/>
        <v/>
      </c>
      <c r="AM204" s="115" t="str">
        <f t="shared" si="94"/>
        <v/>
      </c>
      <c r="AN204" s="115" t="str">
        <f t="shared" si="95"/>
        <v/>
      </c>
      <c r="AO204" s="3"/>
      <c r="AP204" s="3"/>
      <c r="AQ204" s="3"/>
      <c r="AR204" s="3"/>
      <c r="AS204" s="3"/>
      <c r="AT204" s="3"/>
      <c r="AU204" s="3"/>
      <c r="AZ204" s="1"/>
      <c r="BA204" s="1"/>
      <c r="BB204" s="1"/>
      <c r="BC204" s="1"/>
      <c r="BD204" s="1"/>
      <c r="BE204" s="1"/>
      <c r="BF204" s="1"/>
    </row>
    <row r="205" spans="1:58">
      <c r="A205" s="109">
        <v>81</v>
      </c>
      <c r="B205" s="114" t="str">
        <f>VLOOKUP(A205,P_DIS!$B$32:$Q$263,12)</f>
        <v>-</v>
      </c>
      <c r="C205" s="114" t="str">
        <f>VLOOKUP(A205,P_DIS!$B$32:$Q$263,13)</f>
        <v>-</v>
      </c>
      <c r="D205" s="114" t="str">
        <f>VLOOKUP(A205,P_DIS!$B$32:$Q$263,15)</f>
        <v>-</v>
      </c>
      <c r="E205" s="114" t="str">
        <f>VLOOKUP(A205,P_DIS!$B$32:$Q$263,14)</f>
        <v>-</v>
      </c>
      <c r="F205" s="114">
        <f>VLOOKUP(A205,P_DIS!$B$32:$Q$263,10)</f>
        <v>0</v>
      </c>
      <c r="G205" s="114" t="str">
        <f>VLOOKUP(A205,P_DIS!$B$32:$Q$263,11)</f>
        <v>-</v>
      </c>
      <c r="H205" s="114" t="str">
        <f>VLOOKUP(A205,P_DIS!$B$32:$Q$263,16)</f>
        <v>-</v>
      </c>
      <c r="I205" s="115" t="str">
        <f t="shared" si="73"/>
        <v/>
      </c>
      <c r="J205" s="116" t="str">
        <f t="shared" si="74"/>
        <v/>
      </c>
      <c r="K205" s="117" t="str">
        <f t="shared" si="75"/>
        <v/>
      </c>
      <c r="L205" s="118" t="str">
        <f t="shared" si="76"/>
        <v/>
      </c>
      <c r="M205" s="118" t="str">
        <f t="shared" si="77"/>
        <v/>
      </c>
      <c r="N205" s="118" t="str">
        <f t="shared" si="78"/>
        <v/>
      </c>
      <c r="O205" s="118" t="str">
        <f t="shared" si="79"/>
        <v/>
      </c>
      <c r="P205" s="118" t="str">
        <f t="shared" si="80"/>
        <v/>
      </c>
      <c r="Q205" s="118" t="str">
        <f t="shared" si="81"/>
        <v/>
      </c>
      <c r="R205" s="118" t="str">
        <f t="shared" si="82"/>
        <v/>
      </c>
      <c r="S205" s="118" t="str">
        <f t="shared" si="83"/>
        <v/>
      </c>
      <c r="T205" s="119" t="str">
        <f t="shared" si="66"/>
        <v/>
      </c>
      <c r="U205" s="119" t="str">
        <f t="shared" si="67"/>
        <v/>
      </c>
      <c r="V205" s="120" t="str">
        <f t="shared" si="68"/>
        <v/>
      </c>
      <c r="W205" s="120" t="str">
        <f t="shared" si="69"/>
        <v/>
      </c>
      <c r="X205" s="120" t="str">
        <f t="shared" si="70"/>
        <v/>
      </c>
      <c r="Y205" s="121" t="str">
        <f t="shared" si="71"/>
        <v/>
      </c>
      <c r="Z205" s="121" t="str">
        <f t="shared" si="72"/>
        <v/>
      </c>
      <c r="AA205" s="122">
        <v>1</v>
      </c>
      <c r="AB205" s="123">
        <v>1</v>
      </c>
      <c r="AC205" s="123" t="str">
        <f t="shared" si="84"/>
        <v/>
      </c>
      <c r="AD205" s="123" t="str">
        <f t="shared" si="85"/>
        <v/>
      </c>
      <c r="AE205" s="123" t="str">
        <f t="shared" si="86"/>
        <v/>
      </c>
      <c r="AF205" s="123" t="str">
        <f t="shared" si="87"/>
        <v/>
      </c>
      <c r="AG205" s="123" t="str">
        <f t="shared" si="88"/>
        <v/>
      </c>
      <c r="AH205" s="115" t="str">
        <f t="shared" si="89"/>
        <v/>
      </c>
      <c r="AI205" s="115" t="str">
        <f t="shared" si="90"/>
        <v/>
      </c>
      <c r="AJ205" s="115" t="str">
        <f t="shared" si="91"/>
        <v/>
      </c>
      <c r="AK205" s="115" t="str">
        <f t="shared" si="92"/>
        <v/>
      </c>
      <c r="AL205" s="115" t="str">
        <f t="shared" si="93"/>
        <v/>
      </c>
      <c r="AM205" s="115" t="str">
        <f t="shared" si="94"/>
        <v/>
      </c>
      <c r="AN205" s="115" t="str">
        <f t="shared" si="95"/>
        <v/>
      </c>
      <c r="AO205" s="3"/>
      <c r="AP205" s="3"/>
      <c r="AQ205" s="3"/>
      <c r="AR205" s="3"/>
      <c r="AS205" s="3"/>
      <c r="AT205" s="3"/>
      <c r="AU205" s="3"/>
      <c r="AZ205" s="1"/>
      <c r="BA205" s="1"/>
      <c r="BB205" s="1"/>
      <c r="BC205" s="1"/>
      <c r="BD205" s="1"/>
      <c r="BE205" s="1"/>
      <c r="BF205" s="1"/>
    </row>
    <row r="206" spans="1:58">
      <c r="A206" s="109">
        <v>82</v>
      </c>
      <c r="B206" s="114" t="str">
        <f>VLOOKUP(A206,P_DIS!$B$32:$Q$263,12)</f>
        <v>-</v>
      </c>
      <c r="C206" s="114" t="str">
        <f>VLOOKUP(A206,P_DIS!$B$32:$Q$263,13)</f>
        <v>-</v>
      </c>
      <c r="D206" s="114" t="str">
        <f>VLOOKUP(A206,P_DIS!$B$32:$Q$263,15)</f>
        <v>-</v>
      </c>
      <c r="E206" s="114" t="str">
        <f>VLOOKUP(A206,P_DIS!$B$32:$Q$263,14)</f>
        <v>-</v>
      </c>
      <c r="F206" s="114">
        <f>VLOOKUP(A206,P_DIS!$B$32:$Q$263,10)</f>
        <v>0</v>
      </c>
      <c r="G206" s="114" t="str">
        <f>VLOOKUP(A206,P_DIS!$B$32:$Q$263,11)</f>
        <v>-</v>
      </c>
      <c r="H206" s="114" t="str">
        <f>VLOOKUP(A206,P_DIS!$B$32:$Q$263,16)</f>
        <v>-</v>
      </c>
      <c r="I206" s="115" t="str">
        <f t="shared" si="73"/>
        <v/>
      </c>
      <c r="J206" s="116" t="str">
        <f t="shared" si="74"/>
        <v/>
      </c>
      <c r="K206" s="117" t="str">
        <f t="shared" si="75"/>
        <v/>
      </c>
      <c r="L206" s="118" t="str">
        <f t="shared" si="76"/>
        <v/>
      </c>
      <c r="M206" s="118" t="str">
        <f t="shared" si="77"/>
        <v/>
      </c>
      <c r="N206" s="118" t="str">
        <f t="shared" si="78"/>
        <v/>
      </c>
      <c r="O206" s="118" t="str">
        <f t="shared" si="79"/>
        <v/>
      </c>
      <c r="P206" s="118" t="str">
        <f t="shared" si="80"/>
        <v/>
      </c>
      <c r="Q206" s="118" t="str">
        <f t="shared" si="81"/>
        <v/>
      </c>
      <c r="R206" s="118" t="str">
        <f t="shared" si="82"/>
        <v/>
      </c>
      <c r="S206" s="118" t="str">
        <f t="shared" si="83"/>
        <v/>
      </c>
      <c r="T206" s="119" t="str">
        <f t="shared" si="66"/>
        <v/>
      </c>
      <c r="U206" s="119" t="str">
        <f t="shared" si="67"/>
        <v/>
      </c>
      <c r="V206" s="120" t="str">
        <f t="shared" si="68"/>
        <v/>
      </c>
      <c r="W206" s="120" t="str">
        <f t="shared" si="69"/>
        <v/>
      </c>
      <c r="X206" s="120" t="str">
        <f t="shared" si="70"/>
        <v/>
      </c>
      <c r="Y206" s="121" t="str">
        <f t="shared" si="71"/>
        <v/>
      </c>
      <c r="Z206" s="121" t="str">
        <f t="shared" si="72"/>
        <v/>
      </c>
      <c r="AA206" s="122">
        <v>1</v>
      </c>
      <c r="AB206" s="123">
        <v>1</v>
      </c>
      <c r="AC206" s="123" t="str">
        <f t="shared" si="84"/>
        <v/>
      </c>
      <c r="AD206" s="123" t="str">
        <f t="shared" si="85"/>
        <v/>
      </c>
      <c r="AE206" s="123" t="str">
        <f t="shared" si="86"/>
        <v/>
      </c>
      <c r="AF206" s="123" t="str">
        <f t="shared" si="87"/>
        <v/>
      </c>
      <c r="AG206" s="123" t="str">
        <f t="shared" si="88"/>
        <v/>
      </c>
      <c r="AH206" s="115" t="str">
        <f t="shared" si="89"/>
        <v/>
      </c>
      <c r="AI206" s="115" t="str">
        <f t="shared" si="90"/>
        <v/>
      </c>
      <c r="AJ206" s="115" t="str">
        <f t="shared" si="91"/>
        <v/>
      </c>
      <c r="AK206" s="115" t="str">
        <f t="shared" si="92"/>
        <v/>
      </c>
      <c r="AL206" s="115" t="str">
        <f t="shared" si="93"/>
        <v/>
      </c>
      <c r="AM206" s="115" t="str">
        <f t="shared" si="94"/>
        <v/>
      </c>
      <c r="AN206" s="115" t="str">
        <f t="shared" si="95"/>
        <v/>
      </c>
      <c r="AO206" s="3"/>
      <c r="AP206" s="3"/>
      <c r="AQ206" s="3"/>
      <c r="AR206" s="3"/>
      <c r="AS206" s="3"/>
      <c r="AT206" s="3"/>
      <c r="AU206" s="3"/>
      <c r="AZ206" s="1"/>
      <c r="BA206" s="1"/>
      <c r="BB206" s="1"/>
      <c r="BC206" s="1"/>
      <c r="BD206" s="1"/>
      <c r="BE206" s="1"/>
      <c r="BF206" s="1"/>
    </row>
    <row r="207" spans="1:58">
      <c r="A207" s="109">
        <v>83</v>
      </c>
      <c r="B207" s="114" t="str">
        <f>VLOOKUP(A207,P_DIS!$B$32:$Q$263,12)</f>
        <v>-</v>
      </c>
      <c r="C207" s="114" t="str">
        <f>VLOOKUP(A207,P_DIS!$B$32:$Q$263,13)</f>
        <v>-</v>
      </c>
      <c r="D207" s="114" t="str">
        <f>VLOOKUP(A207,P_DIS!$B$32:$Q$263,15)</f>
        <v>-</v>
      </c>
      <c r="E207" s="114" t="str">
        <f>VLOOKUP(A207,P_DIS!$B$32:$Q$263,14)</f>
        <v>-</v>
      </c>
      <c r="F207" s="114">
        <f>VLOOKUP(A207,P_DIS!$B$32:$Q$263,10)</f>
        <v>0</v>
      </c>
      <c r="G207" s="114" t="str">
        <f>VLOOKUP(A207,P_DIS!$B$32:$Q$263,11)</f>
        <v>-</v>
      </c>
      <c r="H207" s="114" t="str">
        <f>VLOOKUP(A207,P_DIS!$B$32:$Q$263,16)</f>
        <v>-</v>
      </c>
      <c r="I207" s="115" t="str">
        <f t="shared" si="73"/>
        <v/>
      </c>
      <c r="J207" s="116" t="str">
        <f t="shared" si="74"/>
        <v/>
      </c>
      <c r="K207" s="117" t="str">
        <f t="shared" si="75"/>
        <v/>
      </c>
      <c r="L207" s="118" t="str">
        <f t="shared" si="76"/>
        <v/>
      </c>
      <c r="M207" s="118" t="str">
        <f t="shared" si="77"/>
        <v/>
      </c>
      <c r="N207" s="118" t="str">
        <f t="shared" si="78"/>
        <v/>
      </c>
      <c r="O207" s="118" t="str">
        <f t="shared" si="79"/>
        <v/>
      </c>
      <c r="P207" s="118" t="str">
        <f t="shared" si="80"/>
        <v/>
      </c>
      <c r="Q207" s="118" t="str">
        <f t="shared" si="81"/>
        <v/>
      </c>
      <c r="R207" s="118" t="str">
        <f t="shared" si="82"/>
        <v/>
      </c>
      <c r="S207" s="118" t="str">
        <f t="shared" si="83"/>
        <v/>
      </c>
      <c r="T207" s="119" t="str">
        <f t="shared" si="66"/>
        <v/>
      </c>
      <c r="U207" s="119" t="str">
        <f t="shared" si="67"/>
        <v/>
      </c>
      <c r="V207" s="120" t="str">
        <f t="shared" si="68"/>
        <v/>
      </c>
      <c r="W207" s="120" t="str">
        <f t="shared" si="69"/>
        <v/>
      </c>
      <c r="X207" s="120" t="str">
        <f t="shared" si="70"/>
        <v/>
      </c>
      <c r="Y207" s="121" t="str">
        <f t="shared" si="71"/>
        <v/>
      </c>
      <c r="Z207" s="121" t="str">
        <f t="shared" si="72"/>
        <v/>
      </c>
      <c r="AA207" s="122">
        <v>1</v>
      </c>
      <c r="AB207" s="123">
        <v>1</v>
      </c>
      <c r="AC207" s="123" t="str">
        <f t="shared" si="84"/>
        <v/>
      </c>
      <c r="AD207" s="123" t="str">
        <f t="shared" si="85"/>
        <v/>
      </c>
      <c r="AE207" s="123" t="str">
        <f t="shared" si="86"/>
        <v/>
      </c>
      <c r="AF207" s="123" t="str">
        <f t="shared" si="87"/>
        <v/>
      </c>
      <c r="AG207" s="123" t="str">
        <f t="shared" si="88"/>
        <v/>
      </c>
      <c r="AH207" s="115" t="str">
        <f t="shared" si="89"/>
        <v/>
      </c>
      <c r="AI207" s="115" t="str">
        <f t="shared" si="90"/>
        <v/>
      </c>
      <c r="AJ207" s="115" t="str">
        <f t="shared" si="91"/>
        <v/>
      </c>
      <c r="AK207" s="115" t="str">
        <f t="shared" si="92"/>
        <v/>
      </c>
      <c r="AL207" s="115" t="str">
        <f t="shared" si="93"/>
        <v/>
      </c>
      <c r="AM207" s="115" t="str">
        <f t="shared" si="94"/>
        <v/>
      </c>
      <c r="AN207" s="115" t="str">
        <f t="shared" si="95"/>
        <v/>
      </c>
      <c r="AO207" s="3"/>
      <c r="AP207" s="3"/>
      <c r="AQ207" s="3"/>
      <c r="AR207" s="3"/>
      <c r="AS207" s="3"/>
      <c r="AT207" s="3"/>
      <c r="AU207" s="3"/>
      <c r="AZ207" s="1"/>
      <c r="BA207" s="1"/>
      <c r="BB207" s="1"/>
      <c r="BC207" s="1"/>
      <c r="BD207" s="1"/>
      <c r="BE207" s="1"/>
      <c r="BF207" s="1"/>
    </row>
    <row r="208" spans="1:58">
      <c r="A208" s="109">
        <v>84</v>
      </c>
      <c r="B208" s="114" t="str">
        <f>VLOOKUP(A208,P_DIS!$B$32:$Q$263,12)</f>
        <v>-</v>
      </c>
      <c r="C208" s="114" t="str">
        <f>VLOOKUP(A208,P_DIS!$B$32:$Q$263,13)</f>
        <v>-</v>
      </c>
      <c r="D208" s="114" t="str">
        <f>VLOOKUP(A208,P_DIS!$B$32:$Q$263,15)</f>
        <v>-</v>
      </c>
      <c r="E208" s="114" t="str">
        <f>VLOOKUP(A208,P_DIS!$B$32:$Q$263,14)</f>
        <v>-</v>
      </c>
      <c r="F208" s="114">
        <f>VLOOKUP(A208,P_DIS!$B$32:$Q$263,10)</f>
        <v>0</v>
      </c>
      <c r="G208" s="114" t="str">
        <f>VLOOKUP(A208,P_DIS!$B$32:$Q$263,11)</f>
        <v>-</v>
      </c>
      <c r="H208" s="114" t="str">
        <f>VLOOKUP(A208,P_DIS!$B$32:$Q$263,16)</f>
        <v>-</v>
      </c>
      <c r="I208" s="115" t="str">
        <f t="shared" si="73"/>
        <v/>
      </c>
      <c r="J208" s="116" t="str">
        <f t="shared" si="74"/>
        <v/>
      </c>
      <c r="K208" s="117" t="str">
        <f t="shared" si="75"/>
        <v/>
      </c>
      <c r="L208" s="118" t="str">
        <f t="shared" si="76"/>
        <v/>
      </c>
      <c r="M208" s="118" t="str">
        <f t="shared" si="77"/>
        <v/>
      </c>
      <c r="N208" s="118" t="str">
        <f t="shared" si="78"/>
        <v/>
      </c>
      <c r="O208" s="118" t="str">
        <f t="shared" si="79"/>
        <v/>
      </c>
      <c r="P208" s="118" t="str">
        <f t="shared" si="80"/>
        <v/>
      </c>
      <c r="Q208" s="118" t="str">
        <f t="shared" si="81"/>
        <v/>
      </c>
      <c r="R208" s="118" t="str">
        <f t="shared" si="82"/>
        <v/>
      </c>
      <c r="S208" s="118" t="str">
        <f t="shared" si="83"/>
        <v/>
      </c>
      <c r="T208" s="119" t="str">
        <f t="shared" si="66"/>
        <v/>
      </c>
      <c r="U208" s="119" t="str">
        <f t="shared" si="67"/>
        <v/>
      </c>
      <c r="V208" s="120" t="str">
        <f t="shared" si="68"/>
        <v/>
      </c>
      <c r="W208" s="120" t="str">
        <f t="shared" si="69"/>
        <v/>
      </c>
      <c r="X208" s="120" t="str">
        <f t="shared" si="70"/>
        <v/>
      </c>
      <c r="Y208" s="121" t="str">
        <f t="shared" si="71"/>
        <v/>
      </c>
      <c r="Z208" s="121" t="str">
        <f t="shared" si="72"/>
        <v/>
      </c>
      <c r="AA208" s="122">
        <v>1</v>
      </c>
      <c r="AB208" s="123">
        <v>1</v>
      </c>
      <c r="AC208" s="123" t="str">
        <f t="shared" si="84"/>
        <v/>
      </c>
      <c r="AD208" s="123" t="str">
        <f t="shared" si="85"/>
        <v/>
      </c>
      <c r="AE208" s="123" t="str">
        <f t="shared" si="86"/>
        <v/>
      </c>
      <c r="AF208" s="123" t="str">
        <f t="shared" si="87"/>
        <v/>
      </c>
      <c r="AG208" s="123" t="str">
        <f t="shared" si="88"/>
        <v/>
      </c>
      <c r="AH208" s="115" t="str">
        <f t="shared" si="89"/>
        <v/>
      </c>
      <c r="AI208" s="115" t="str">
        <f t="shared" si="90"/>
        <v/>
      </c>
      <c r="AJ208" s="115" t="str">
        <f t="shared" si="91"/>
        <v/>
      </c>
      <c r="AK208" s="115" t="str">
        <f t="shared" si="92"/>
        <v/>
      </c>
      <c r="AL208" s="115" t="str">
        <f t="shared" si="93"/>
        <v/>
      </c>
      <c r="AM208" s="115" t="str">
        <f t="shared" si="94"/>
        <v/>
      </c>
      <c r="AN208" s="115" t="str">
        <f t="shared" si="95"/>
        <v/>
      </c>
      <c r="AO208" s="3"/>
      <c r="AP208" s="3"/>
      <c r="AQ208" s="3"/>
      <c r="AR208" s="3"/>
      <c r="AS208" s="3"/>
      <c r="AT208" s="3"/>
      <c r="AU208" s="3"/>
      <c r="AZ208" s="1"/>
      <c r="BA208" s="1"/>
      <c r="BB208" s="1"/>
      <c r="BC208" s="1"/>
      <c r="BD208" s="1"/>
      <c r="BE208" s="1"/>
      <c r="BF208" s="1"/>
    </row>
    <row r="209" spans="1:58">
      <c r="A209" s="109">
        <v>85</v>
      </c>
      <c r="B209" s="114" t="str">
        <f>VLOOKUP(A209,P_DIS!$B$32:$Q$263,12)</f>
        <v>-</v>
      </c>
      <c r="C209" s="114" t="str">
        <f>VLOOKUP(A209,P_DIS!$B$32:$Q$263,13)</f>
        <v>-</v>
      </c>
      <c r="D209" s="114" t="str">
        <f>VLOOKUP(A209,P_DIS!$B$32:$Q$263,15)</f>
        <v>-</v>
      </c>
      <c r="E209" s="114" t="str">
        <f>VLOOKUP(A209,P_DIS!$B$32:$Q$263,14)</f>
        <v>-</v>
      </c>
      <c r="F209" s="114">
        <f>VLOOKUP(A209,P_DIS!$B$32:$Q$263,10)</f>
        <v>0</v>
      </c>
      <c r="G209" s="114" t="str">
        <f>VLOOKUP(A209,P_DIS!$B$32:$Q$263,11)</f>
        <v>-</v>
      </c>
      <c r="H209" s="114" t="str">
        <f>VLOOKUP(A209,P_DIS!$B$32:$Q$263,16)</f>
        <v>-</v>
      </c>
      <c r="I209" s="115" t="str">
        <f t="shared" si="73"/>
        <v/>
      </c>
      <c r="J209" s="116" t="str">
        <f t="shared" si="74"/>
        <v/>
      </c>
      <c r="K209" s="117" t="str">
        <f t="shared" si="75"/>
        <v/>
      </c>
      <c r="L209" s="118" t="str">
        <f t="shared" si="76"/>
        <v/>
      </c>
      <c r="M209" s="118" t="str">
        <f t="shared" si="77"/>
        <v/>
      </c>
      <c r="N209" s="118" t="str">
        <f t="shared" si="78"/>
        <v/>
      </c>
      <c r="O209" s="118" t="str">
        <f t="shared" si="79"/>
        <v/>
      </c>
      <c r="P209" s="118" t="str">
        <f t="shared" si="80"/>
        <v/>
      </c>
      <c r="Q209" s="118" t="str">
        <f t="shared" si="81"/>
        <v/>
      </c>
      <c r="R209" s="118" t="str">
        <f t="shared" si="82"/>
        <v/>
      </c>
      <c r="S209" s="118" t="str">
        <f t="shared" si="83"/>
        <v/>
      </c>
      <c r="T209" s="119" t="str">
        <f t="shared" si="66"/>
        <v/>
      </c>
      <c r="U209" s="119" t="str">
        <f t="shared" si="67"/>
        <v/>
      </c>
      <c r="V209" s="120" t="str">
        <f t="shared" si="68"/>
        <v/>
      </c>
      <c r="W209" s="120" t="str">
        <f t="shared" si="69"/>
        <v/>
      </c>
      <c r="X209" s="120" t="str">
        <f t="shared" si="70"/>
        <v/>
      </c>
      <c r="Y209" s="121" t="str">
        <f t="shared" si="71"/>
        <v/>
      </c>
      <c r="Z209" s="121" t="str">
        <f t="shared" si="72"/>
        <v/>
      </c>
      <c r="AA209" s="122">
        <v>1</v>
      </c>
      <c r="AB209" s="123">
        <v>1</v>
      </c>
      <c r="AC209" s="123" t="str">
        <f t="shared" si="84"/>
        <v/>
      </c>
      <c r="AD209" s="123" t="str">
        <f t="shared" si="85"/>
        <v/>
      </c>
      <c r="AE209" s="123" t="str">
        <f t="shared" si="86"/>
        <v/>
      </c>
      <c r="AF209" s="123" t="str">
        <f t="shared" si="87"/>
        <v/>
      </c>
      <c r="AG209" s="123" t="str">
        <f t="shared" si="88"/>
        <v/>
      </c>
      <c r="AH209" s="115" t="str">
        <f t="shared" si="89"/>
        <v/>
      </c>
      <c r="AI209" s="115" t="str">
        <f t="shared" si="90"/>
        <v/>
      </c>
      <c r="AJ209" s="115" t="str">
        <f t="shared" si="91"/>
        <v/>
      </c>
      <c r="AK209" s="115" t="str">
        <f t="shared" si="92"/>
        <v/>
      </c>
      <c r="AL209" s="115" t="str">
        <f t="shared" si="93"/>
        <v/>
      </c>
      <c r="AM209" s="115" t="str">
        <f t="shared" si="94"/>
        <v/>
      </c>
      <c r="AN209" s="115" t="str">
        <f t="shared" si="95"/>
        <v/>
      </c>
      <c r="AO209" s="3"/>
      <c r="AP209" s="3"/>
      <c r="AQ209" s="3"/>
      <c r="AR209" s="3"/>
      <c r="AS209" s="3"/>
      <c r="AT209" s="3"/>
      <c r="AU209" s="3"/>
      <c r="AZ209" s="1"/>
      <c r="BA209" s="1"/>
      <c r="BB209" s="1"/>
      <c r="BC209" s="1"/>
      <c r="BD209" s="1"/>
      <c r="BE209" s="1"/>
      <c r="BF209" s="1"/>
    </row>
    <row r="210" spans="1:58">
      <c r="A210" s="109">
        <v>86</v>
      </c>
      <c r="B210" s="114" t="str">
        <f>VLOOKUP(A210,P_DIS!$B$32:$Q$263,12)</f>
        <v>-</v>
      </c>
      <c r="C210" s="114" t="str">
        <f>VLOOKUP(A210,P_DIS!$B$32:$Q$263,13)</f>
        <v>-</v>
      </c>
      <c r="D210" s="114" t="str">
        <f>VLOOKUP(A210,P_DIS!$B$32:$Q$263,15)</f>
        <v>-</v>
      </c>
      <c r="E210" s="114" t="str">
        <f>VLOOKUP(A210,P_DIS!$B$32:$Q$263,14)</f>
        <v>-</v>
      </c>
      <c r="F210" s="114">
        <f>VLOOKUP(A210,P_DIS!$B$32:$Q$263,10)</f>
        <v>0</v>
      </c>
      <c r="G210" s="114" t="str">
        <f>VLOOKUP(A210,P_DIS!$B$32:$Q$263,11)</f>
        <v>-</v>
      </c>
      <c r="H210" s="114" t="str">
        <f>VLOOKUP(A210,P_DIS!$B$32:$Q$263,16)</f>
        <v>-</v>
      </c>
      <c r="I210" s="115" t="str">
        <f t="shared" si="73"/>
        <v/>
      </c>
      <c r="J210" s="116" t="str">
        <f t="shared" si="74"/>
        <v/>
      </c>
      <c r="K210" s="117" t="str">
        <f t="shared" si="75"/>
        <v/>
      </c>
      <c r="L210" s="118" t="str">
        <f t="shared" si="76"/>
        <v/>
      </c>
      <c r="M210" s="118" t="str">
        <f t="shared" si="77"/>
        <v/>
      </c>
      <c r="N210" s="118" t="str">
        <f t="shared" si="78"/>
        <v/>
      </c>
      <c r="O210" s="118" t="str">
        <f t="shared" si="79"/>
        <v/>
      </c>
      <c r="P210" s="118" t="str">
        <f t="shared" si="80"/>
        <v/>
      </c>
      <c r="Q210" s="118" t="str">
        <f t="shared" si="81"/>
        <v/>
      </c>
      <c r="R210" s="118" t="str">
        <f t="shared" si="82"/>
        <v/>
      </c>
      <c r="S210" s="118" t="str">
        <f t="shared" si="83"/>
        <v/>
      </c>
      <c r="T210" s="119" t="str">
        <f t="shared" si="66"/>
        <v/>
      </c>
      <c r="U210" s="119" t="str">
        <f t="shared" si="67"/>
        <v/>
      </c>
      <c r="V210" s="120" t="str">
        <f t="shared" si="68"/>
        <v/>
      </c>
      <c r="W210" s="120" t="str">
        <f t="shared" si="69"/>
        <v/>
      </c>
      <c r="X210" s="120" t="str">
        <f t="shared" si="70"/>
        <v/>
      </c>
      <c r="Y210" s="121" t="str">
        <f t="shared" si="71"/>
        <v/>
      </c>
      <c r="Z210" s="121" t="str">
        <f t="shared" si="72"/>
        <v/>
      </c>
      <c r="AA210" s="122">
        <v>1</v>
      </c>
      <c r="AB210" s="123">
        <v>1</v>
      </c>
      <c r="AC210" s="123" t="str">
        <f t="shared" si="84"/>
        <v/>
      </c>
      <c r="AD210" s="123" t="str">
        <f t="shared" si="85"/>
        <v/>
      </c>
      <c r="AE210" s="123" t="str">
        <f t="shared" si="86"/>
        <v/>
      </c>
      <c r="AF210" s="123" t="str">
        <f t="shared" si="87"/>
        <v/>
      </c>
      <c r="AG210" s="123" t="str">
        <f t="shared" si="88"/>
        <v/>
      </c>
      <c r="AH210" s="115" t="str">
        <f t="shared" si="89"/>
        <v/>
      </c>
      <c r="AI210" s="115" t="str">
        <f t="shared" si="90"/>
        <v/>
      </c>
      <c r="AJ210" s="115" t="str">
        <f t="shared" si="91"/>
        <v/>
      </c>
      <c r="AK210" s="115" t="str">
        <f t="shared" si="92"/>
        <v/>
      </c>
      <c r="AL210" s="115" t="str">
        <f t="shared" si="93"/>
        <v/>
      </c>
      <c r="AM210" s="115" t="str">
        <f t="shared" si="94"/>
        <v/>
      </c>
      <c r="AN210" s="115" t="str">
        <f t="shared" si="95"/>
        <v/>
      </c>
      <c r="AO210" s="3"/>
      <c r="AP210" s="3"/>
      <c r="AQ210" s="3"/>
      <c r="AR210" s="3"/>
      <c r="AS210" s="3"/>
      <c r="AT210" s="3"/>
      <c r="AU210" s="3"/>
      <c r="AZ210" s="1"/>
      <c r="BA210" s="1"/>
      <c r="BB210" s="1"/>
      <c r="BC210" s="1"/>
      <c r="BD210" s="1"/>
      <c r="BE210" s="1"/>
      <c r="BF210" s="1"/>
    </row>
    <row r="211" spans="1:58">
      <c r="A211" s="109">
        <v>87</v>
      </c>
      <c r="B211" s="114" t="str">
        <f>VLOOKUP(A211,P_DIS!$B$32:$Q$263,12)</f>
        <v>-</v>
      </c>
      <c r="C211" s="114" t="str">
        <f>VLOOKUP(A211,P_DIS!$B$32:$Q$263,13)</f>
        <v>-</v>
      </c>
      <c r="D211" s="114" t="str">
        <f>VLOOKUP(A211,P_DIS!$B$32:$Q$263,15)</f>
        <v>-</v>
      </c>
      <c r="E211" s="114" t="str">
        <f>VLOOKUP(A211,P_DIS!$B$32:$Q$263,14)</f>
        <v>-</v>
      </c>
      <c r="F211" s="114">
        <f>VLOOKUP(A211,P_DIS!$B$32:$Q$263,10)</f>
        <v>0</v>
      </c>
      <c r="G211" s="114" t="str">
        <f>VLOOKUP(A211,P_DIS!$B$32:$Q$263,11)</f>
        <v>-</v>
      </c>
      <c r="H211" s="114" t="str">
        <f>VLOOKUP(A211,P_DIS!$B$32:$Q$263,16)</f>
        <v>-</v>
      </c>
      <c r="I211" s="115" t="str">
        <f t="shared" si="73"/>
        <v/>
      </c>
      <c r="J211" s="116" t="str">
        <f t="shared" si="74"/>
        <v/>
      </c>
      <c r="K211" s="117" t="str">
        <f t="shared" si="75"/>
        <v/>
      </c>
      <c r="L211" s="118" t="str">
        <f t="shared" si="76"/>
        <v/>
      </c>
      <c r="M211" s="118" t="str">
        <f t="shared" si="77"/>
        <v/>
      </c>
      <c r="N211" s="118" t="str">
        <f t="shared" si="78"/>
        <v/>
      </c>
      <c r="O211" s="118" t="str">
        <f t="shared" si="79"/>
        <v/>
      </c>
      <c r="P211" s="118" t="str">
        <f t="shared" si="80"/>
        <v/>
      </c>
      <c r="Q211" s="118" t="str">
        <f t="shared" si="81"/>
        <v/>
      </c>
      <c r="R211" s="118" t="str">
        <f t="shared" si="82"/>
        <v/>
      </c>
      <c r="S211" s="118" t="str">
        <f t="shared" si="83"/>
        <v/>
      </c>
      <c r="T211" s="119" t="str">
        <f t="shared" si="66"/>
        <v/>
      </c>
      <c r="U211" s="119" t="str">
        <f t="shared" si="67"/>
        <v/>
      </c>
      <c r="V211" s="120" t="str">
        <f t="shared" si="68"/>
        <v/>
      </c>
      <c r="W211" s="120" t="str">
        <f t="shared" si="69"/>
        <v/>
      </c>
      <c r="X211" s="120" t="str">
        <f t="shared" si="70"/>
        <v/>
      </c>
      <c r="Y211" s="121" t="str">
        <f t="shared" si="71"/>
        <v/>
      </c>
      <c r="Z211" s="121" t="str">
        <f t="shared" si="72"/>
        <v/>
      </c>
      <c r="AA211" s="122">
        <v>1</v>
      </c>
      <c r="AB211" s="123">
        <v>1</v>
      </c>
      <c r="AC211" s="123" t="str">
        <f t="shared" si="84"/>
        <v/>
      </c>
      <c r="AD211" s="123" t="str">
        <f t="shared" si="85"/>
        <v/>
      </c>
      <c r="AE211" s="123" t="str">
        <f t="shared" si="86"/>
        <v/>
      </c>
      <c r="AF211" s="123" t="str">
        <f t="shared" si="87"/>
        <v/>
      </c>
      <c r="AG211" s="123" t="str">
        <f t="shared" si="88"/>
        <v/>
      </c>
      <c r="AH211" s="115" t="str">
        <f t="shared" si="89"/>
        <v/>
      </c>
      <c r="AI211" s="115" t="str">
        <f t="shared" si="90"/>
        <v/>
      </c>
      <c r="AJ211" s="115" t="str">
        <f t="shared" si="91"/>
        <v/>
      </c>
      <c r="AK211" s="115" t="str">
        <f t="shared" si="92"/>
        <v/>
      </c>
      <c r="AL211" s="115" t="str">
        <f t="shared" si="93"/>
        <v/>
      </c>
      <c r="AM211" s="115" t="str">
        <f t="shared" si="94"/>
        <v/>
      </c>
      <c r="AN211" s="115" t="str">
        <f t="shared" si="95"/>
        <v/>
      </c>
      <c r="AO211" s="3"/>
      <c r="AP211" s="3"/>
      <c r="AQ211" s="3"/>
      <c r="AR211" s="3"/>
      <c r="AS211" s="3"/>
      <c r="AT211" s="3"/>
      <c r="AU211" s="3"/>
      <c r="AZ211" s="1"/>
      <c r="BA211" s="1"/>
      <c r="BB211" s="1"/>
      <c r="BC211" s="1"/>
      <c r="BD211" s="1"/>
      <c r="BE211" s="1"/>
      <c r="BF211" s="1"/>
    </row>
    <row r="212" spans="1:58">
      <c r="A212" s="109">
        <v>88</v>
      </c>
      <c r="B212" s="114" t="str">
        <f>VLOOKUP(A212,P_DIS!$B$32:$Q$263,12)</f>
        <v>-</v>
      </c>
      <c r="C212" s="114" t="str">
        <f>VLOOKUP(A212,P_DIS!$B$32:$Q$263,13)</f>
        <v>-</v>
      </c>
      <c r="D212" s="114" t="str">
        <f>VLOOKUP(A212,P_DIS!$B$32:$Q$263,15)</f>
        <v>-</v>
      </c>
      <c r="E212" s="114" t="str">
        <f>VLOOKUP(A212,P_DIS!$B$32:$Q$263,14)</f>
        <v>-</v>
      </c>
      <c r="F212" s="114">
        <f>VLOOKUP(A212,P_DIS!$B$32:$Q$263,10)</f>
        <v>0</v>
      </c>
      <c r="G212" s="114" t="str">
        <f>VLOOKUP(A212,P_DIS!$B$32:$Q$263,11)</f>
        <v>-</v>
      </c>
      <c r="H212" s="114" t="str">
        <f>VLOOKUP(A212,P_DIS!$B$32:$Q$263,16)</f>
        <v>-</v>
      </c>
      <c r="I212" s="115" t="str">
        <f t="shared" si="73"/>
        <v/>
      </c>
      <c r="J212" s="116" t="str">
        <f t="shared" si="74"/>
        <v/>
      </c>
      <c r="K212" s="117" t="str">
        <f t="shared" si="75"/>
        <v/>
      </c>
      <c r="L212" s="118" t="str">
        <f t="shared" si="76"/>
        <v/>
      </c>
      <c r="M212" s="118" t="str">
        <f t="shared" si="77"/>
        <v/>
      </c>
      <c r="N212" s="118" t="str">
        <f t="shared" si="78"/>
        <v/>
      </c>
      <c r="O212" s="118" t="str">
        <f t="shared" si="79"/>
        <v/>
      </c>
      <c r="P212" s="118" t="str">
        <f t="shared" si="80"/>
        <v/>
      </c>
      <c r="Q212" s="118" t="str">
        <f t="shared" si="81"/>
        <v/>
      </c>
      <c r="R212" s="118" t="str">
        <f t="shared" si="82"/>
        <v/>
      </c>
      <c r="S212" s="118" t="str">
        <f t="shared" si="83"/>
        <v/>
      </c>
      <c r="T212" s="119" t="str">
        <f t="shared" si="66"/>
        <v/>
      </c>
      <c r="U212" s="119" t="str">
        <f t="shared" si="67"/>
        <v/>
      </c>
      <c r="V212" s="120" t="str">
        <f t="shared" si="68"/>
        <v/>
      </c>
      <c r="W212" s="120" t="str">
        <f t="shared" si="69"/>
        <v/>
      </c>
      <c r="X212" s="120" t="str">
        <f t="shared" si="70"/>
        <v/>
      </c>
      <c r="Y212" s="121" t="str">
        <f t="shared" si="71"/>
        <v/>
      </c>
      <c r="Z212" s="121" t="str">
        <f t="shared" si="72"/>
        <v/>
      </c>
      <c r="AA212" s="122">
        <v>1</v>
      </c>
      <c r="AB212" s="123">
        <v>1</v>
      </c>
      <c r="AC212" s="123" t="str">
        <f t="shared" si="84"/>
        <v/>
      </c>
      <c r="AD212" s="123" t="str">
        <f t="shared" si="85"/>
        <v/>
      </c>
      <c r="AE212" s="123" t="str">
        <f t="shared" si="86"/>
        <v/>
      </c>
      <c r="AF212" s="123" t="str">
        <f t="shared" si="87"/>
        <v/>
      </c>
      <c r="AG212" s="123" t="str">
        <f t="shared" si="88"/>
        <v/>
      </c>
      <c r="AH212" s="115" t="str">
        <f t="shared" si="89"/>
        <v/>
      </c>
      <c r="AI212" s="115" t="str">
        <f t="shared" si="90"/>
        <v/>
      </c>
      <c r="AJ212" s="115" t="str">
        <f t="shared" si="91"/>
        <v/>
      </c>
      <c r="AK212" s="115" t="str">
        <f t="shared" si="92"/>
        <v/>
      </c>
      <c r="AL212" s="115" t="str">
        <f t="shared" si="93"/>
        <v/>
      </c>
      <c r="AM212" s="115" t="str">
        <f t="shared" si="94"/>
        <v/>
      </c>
      <c r="AN212" s="115" t="str">
        <f t="shared" si="95"/>
        <v/>
      </c>
      <c r="AO212" s="3"/>
      <c r="AP212" s="3"/>
      <c r="AQ212" s="3"/>
      <c r="AR212" s="3"/>
      <c r="AS212" s="3"/>
      <c r="AT212" s="3"/>
      <c r="AU212" s="3"/>
      <c r="AZ212" s="1"/>
      <c r="BA212" s="1"/>
      <c r="BB212" s="1"/>
      <c r="BC212" s="1"/>
      <c r="BD212" s="1"/>
      <c r="BE212" s="1"/>
      <c r="BF212" s="1"/>
    </row>
    <row r="213" spans="1:58">
      <c r="A213" s="109">
        <v>89</v>
      </c>
      <c r="B213" s="114" t="str">
        <f>VLOOKUP(A213,P_DIS!$B$32:$Q$263,12)</f>
        <v>-</v>
      </c>
      <c r="C213" s="114" t="str">
        <f>VLOOKUP(A213,P_DIS!$B$32:$Q$263,13)</f>
        <v>-</v>
      </c>
      <c r="D213" s="114" t="str">
        <f>VLOOKUP(A213,P_DIS!$B$32:$Q$263,15)</f>
        <v>-</v>
      </c>
      <c r="E213" s="114" t="str">
        <f>VLOOKUP(A213,P_DIS!$B$32:$Q$263,14)</f>
        <v>-</v>
      </c>
      <c r="F213" s="114">
        <f>VLOOKUP(A213,P_DIS!$B$32:$Q$263,10)</f>
        <v>0</v>
      </c>
      <c r="G213" s="114" t="str">
        <f>VLOOKUP(A213,P_DIS!$B$32:$Q$263,11)</f>
        <v>-</v>
      </c>
      <c r="H213" s="114" t="str">
        <f>VLOOKUP(A213,P_DIS!$B$32:$Q$263,16)</f>
        <v>-</v>
      </c>
      <c r="I213" s="115" t="str">
        <f t="shared" si="73"/>
        <v/>
      </c>
      <c r="J213" s="116" t="str">
        <f t="shared" si="74"/>
        <v/>
      </c>
      <c r="K213" s="117" t="str">
        <f t="shared" si="75"/>
        <v/>
      </c>
      <c r="L213" s="118" t="str">
        <f t="shared" si="76"/>
        <v/>
      </c>
      <c r="M213" s="118" t="str">
        <f t="shared" si="77"/>
        <v/>
      </c>
      <c r="N213" s="118" t="str">
        <f t="shared" si="78"/>
        <v/>
      </c>
      <c r="O213" s="118" t="str">
        <f t="shared" si="79"/>
        <v/>
      </c>
      <c r="P213" s="118" t="str">
        <f t="shared" si="80"/>
        <v/>
      </c>
      <c r="Q213" s="118" t="str">
        <f t="shared" si="81"/>
        <v/>
      </c>
      <c r="R213" s="118" t="str">
        <f t="shared" si="82"/>
        <v/>
      </c>
      <c r="S213" s="118" t="str">
        <f t="shared" si="83"/>
        <v/>
      </c>
      <c r="T213" s="119" t="str">
        <f t="shared" si="66"/>
        <v/>
      </c>
      <c r="U213" s="119" t="str">
        <f t="shared" si="67"/>
        <v/>
      </c>
      <c r="V213" s="120" t="str">
        <f t="shared" si="68"/>
        <v/>
      </c>
      <c r="W213" s="120" t="str">
        <f t="shared" si="69"/>
        <v/>
      </c>
      <c r="X213" s="120" t="str">
        <f t="shared" si="70"/>
        <v/>
      </c>
      <c r="Y213" s="121" t="str">
        <f t="shared" si="71"/>
        <v/>
      </c>
      <c r="Z213" s="121" t="str">
        <f t="shared" si="72"/>
        <v/>
      </c>
      <c r="AA213" s="122">
        <v>1</v>
      </c>
      <c r="AB213" s="123">
        <v>1</v>
      </c>
      <c r="AC213" s="123" t="str">
        <f t="shared" si="84"/>
        <v/>
      </c>
      <c r="AD213" s="123" t="str">
        <f t="shared" si="85"/>
        <v/>
      </c>
      <c r="AE213" s="123" t="str">
        <f t="shared" si="86"/>
        <v/>
      </c>
      <c r="AF213" s="123" t="str">
        <f t="shared" si="87"/>
        <v/>
      </c>
      <c r="AG213" s="123" t="str">
        <f t="shared" si="88"/>
        <v/>
      </c>
      <c r="AH213" s="115" t="str">
        <f t="shared" si="89"/>
        <v/>
      </c>
      <c r="AI213" s="115" t="str">
        <f t="shared" si="90"/>
        <v/>
      </c>
      <c r="AJ213" s="115" t="str">
        <f t="shared" si="91"/>
        <v/>
      </c>
      <c r="AK213" s="115" t="str">
        <f t="shared" si="92"/>
        <v/>
      </c>
      <c r="AL213" s="115" t="str">
        <f t="shared" si="93"/>
        <v/>
      </c>
      <c r="AM213" s="115" t="str">
        <f t="shared" si="94"/>
        <v/>
      </c>
      <c r="AN213" s="115" t="str">
        <f t="shared" si="95"/>
        <v/>
      </c>
      <c r="AO213" s="3"/>
      <c r="AP213" s="3"/>
      <c r="AQ213" s="3"/>
      <c r="AR213" s="3"/>
      <c r="AS213" s="3"/>
      <c r="AT213" s="3"/>
      <c r="AU213" s="3"/>
      <c r="AZ213" s="1"/>
      <c r="BA213" s="1"/>
      <c r="BB213" s="1"/>
      <c r="BC213" s="1"/>
      <c r="BD213" s="1"/>
      <c r="BE213" s="1"/>
      <c r="BF213" s="1"/>
    </row>
    <row r="214" spans="1:58">
      <c r="A214" s="109">
        <v>90</v>
      </c>
      <c r="B214" s="114" t="str">
        <f>VLOOKUP(A214,P_DIS!$B$32:$Q$263,12)</f>
        <v>-</v>
      </c>
      <c r="C214" s="114" t="str">
        <f>VLOOKUP(A214,P_DIS!$B$32:$Q$263,13)</f>
        <v>-</v>
      </c>
      <c r="D214" s="114" t="str">
        <f>VLOOKUP(A214,P_DIS!$B$32:$Q$263,15)</f>
        <v>-</v>
      </c>
      <c r="E214" s="114" t="str">
        <f>VLOOKUP(A214,P_DIS!$B$32:$Q$263,14)</f>
        <v>-</v>
      </c>
      <c r="F214" s="114">
        <f>VLOOKUP(A214,P_DIS!$B$32:$Q$263,10)</f>
        <v>0</v>
      </c>
      <c r="G214" s="114" t="str">
        <f>VLOOKUP(A214,P_DIS!$B$32:$Q$263,11)</f>
        <v>-</v>
      </c>
      <c r="H214" s="114" t="str">
        <f>VLOOKUP(A214,P_DIS!$B$32:$Q$263,16)</f>
        <v>-</v>
      </c>
      <c r="I214" s="115" t="str">
        <f t="shared" si="73"/>
        <v/>
      </c>
      <c r="J214" s="116" t="str">
        <f t="shared" si="74"/>
        <v/>
      </c>
      <c r="K214" s="117" t="str">
        <f t="shared" si="75"/>
        <v/>
      </c>
      <c r="L214" s="118" t="str">
        <f t="shared" si="76"/>
        <v/>
      </c>
      <c r="M214" s="118" t="str">
        <f t="shared" si="77"/>
        <v/>
      </c>
      <c r="N214" s="118" t="str">
        <f t="shared" si="78"/>
        <v/>
      </c>
      <c r="O214" s="118" t="str">
        <f t="shared" si="79"/>
        <v/>
      </c>
      <c r="P214" s="118" t="str">
        <f t="shared" si="80"/>
        <v/>
      </c>
      <c r="Q214" s="118" t="str">
        <f t="shared" si="81"/>
        <v/>
      </c>
      <c r="R214" s="118" t="str">
        <f t="shared" si="82"/>
        <v/>
      </c>
      <c r="S214" s="118" t="str">
        <f t="shared" si="83"/>
        <v/>
      </c>
      <c r="T214" s="119" t="str">
        <f t="shared" si="66"/>
        <v/>
      </c>
      <c r="U214" s="119" t="str">
        <f t="shared" si="67"/>
        <v/>
      </c>
      <c r="V214" s="120" t="str">
        <f t="shared" si="68"/>
        <v/>
      </c>
      <c r="W214" s="120" t="str">
        <f t="shared" si="69"/>
        <v/>
      </c>
      <c r="X214" s="120" t="str">
        <f t="shared" si="70"/>
        <v/>
      </c>
      <c r="Y214" s="121" t="str">
        <f t="shared" si="71"/>
        <v/>
      </c>
      <c r="Z214" s="121" t="str">
        <f t="shared" si="72"/>
        <v/>
      </c>
      <c r="AA214" s="122">
        <v>1</v>
      </c>
      <c r="AB214" s="123">
        <v>1</v>
      </c>
      <c r="AC214" s="123" t="str">
        <f t="shared" si="84"/>
        <v/>
      </c>
      <c r="AD214" s="123" t="str">
        <f t="shared" si="85"/>
        <v/>
      </c>
      <c r="AE214" s="123" t="str">
        <f t="shared" si="86"/>
        <v/>
      </c>
      <c r="AF214" s="123" t="str">
        <f t="shared" si="87"/>
        <v/>
      </c>
      <c r="AG214" s="123" t="str">
        <f t="shared" si="88"/>
        <v/>
      </c>
      <c r="AH214" s="115" t="str">
        <f t="shared" si="89"/>
        <v/>
      </c>
      <c r="AI214" s="115" t="str">
        <f t="shared" si="90"/>
        <v/>
      </c>
      <c r="AJ214" s="115" t="str">
        <f t="shared" si="91"/>
        <v/>
      </c>
      <c r="AK214" s="115" t="str">
        <f t="shared" si="92"/>
        <v/>
      </c>
      <c r="AL214" s="115" t="str">
        <f t="shared" si="93"/>
        <v/>
      </c>
      <c r="AM214" s="115" t="str">
        <f t="shared" si="94"/>
        <v/>
      </c>
      <c r="AN214" s="115" t="str">
        <f t="shared" si="95"/>
        <v/>
      </c>
      <c r="AO214" s="3"/>
      <c r="AP214" s="3"/>
      <c r="AQ214" s="3"/>
      <c r="AR214" s="3"/>
      <c r="AS214" s="3"/>
      <c r="AT214" s="3"/>
      <c r="AU214" s="3"/>
      <c r="AZ214" s="1"/>
      <c r="BA214" s="1"/>
      <c r="BB214" s="1"/>
      <c r="BC214" s="1"/>
      <c r="BD214" s="1"/>
      <c r="BE214" s="1"/>
      <c r="BF214" s="1"/>
    </row>
    <row r="215" spans="1:58">
      <c r="A215" s="109">
        <v>91</v>
      </c>
      <c r="B215" s="114" t="str">
        <f>VLOOKUP(A215,P_DIS!$B$32:$Q$263,12)</f>
        <v>-</v>
      </c>
      <c r="C215" s="114" t="str">
        <f>VLOOKUP(A215,P_DIS!$B$32:$Q$263,13)</f>
        <v>-</v>
      </c>
      <c r="D215" s="114" t="str">
        <f>VLOOKUP(A215,P_DIS!$B$32:$Q$263,15)</f>
        <v>-</v>
      </c>
      <c r="E215" s="114" t="str">
        <f>VLOOKUP(A215,P_DIS!$B$32:$Q$263,14)</f>
        <v>-</v>
      </c>
      <c r="F215" s="114">
        <f>VLOOKUP(A215,P_DIS!$B$32:$Q$263,10)</f>
        <v>0</v>
      </c>
      <c r="G215" s="114" t="str">
        <f>VLOOKUP(A215,P_DIS!$B$32:$Q$263,11)</f>
        <v>-</v>
      </c>
      <c r="H215" s="114" t="str">
        <f>VLOOKUP(A215,P_DIS!$B$32:$Q$263,16)</f>
        <v>-</v>
      </c>
      <c r="I215" s="115" t="str">
        <f t="shared" si="73"/>
        <v/>
      </c>
      <c r="J215" s="116" t="str">
        <f t="shared" si="74"/>
        <v/>
      </c>
      <c r="K215" s="117" t="str">
        <f t="shared" si="75"/>
        <v/>
      </c>
      <c r="L215" s="118" t="str">
        <f t="shared" si="76"/>
        <v/>
      </c>
      <c r="M215" s="118" t="str">
        <f t="shared" si="77"/>
        <v/>
      </c>
      <c r="N215" s="118" t="str">
        <f t="shared" si="78"/>
        <v/>
      </c>
      <c r="O215" s="118" t="str">
        <f t="shared" si="79"/>
        <v/>
      </c>
      <c r="P215" s="118" t="str">
        <f t="shared" si="80"/>
        <v/>
      </c>
      <c r="Q215" s="118" t="str">
        <f t="shared" si="81"/>
        <v/>
      </c>
      <c r="R215" s="118" t="str">
        <f t="shared" si="82"/>
        <v/>
      </c>
      <c r="S215" s="118" t="str">
        <f t="shared" si="83"/>
        <v/>
      </c>
      <c r="T215" s="119" t="str">
        <f t="shared" si="66"/>
        <v/>
      </c>
      <c r="U215" s="119" t="str">
        <f t="shared" si="67"/>
        <v/>
      </c>
      <c r="V215" s="120" t="str">
        <f t="shared" si="68"/>
        <v/>
      </c>
      <c r="W215" s="120" t="str">
        <f t="shared" si="69"/>
        <v/>
      </c>
      <c r="X215" s="120" t="str">
        <f t="shared" si="70"/>
        <v/>
      </c>
      <c r="Y215" s="121" t="str">
        <f t="shared" si="71"/>
        <v/>
      </c>
      <c r="Z215" s="121" t="str">
        <f t="shared" si="72"/>
        <v/>
      </c>
      <c r="AA215" s="122">
        <v>1</v>
      </c>
      <c r="AB215" s="123">
        <v>1</v>
      </c>
      <c r="AC215" s="123" t="str">
        <f t="shared" si="84"/>
        <v/>
      </c>
      <c r="AD215" s="123" t="str">
        <f t="shared" si="85"/>
        <v/>
      </c>
      <c r="AE215" s="123" t="str">
        <f t="shared" si="86"/>
        <v/>
      </c>
      <c r="AF215" s="123" t="str">
        <f t="shared" si="87"/>
        <v/>
      </c>
      <c r="AG215" s="123" t="str">
        <f t="shared" si="88"/>
        <v/>
      </c>
      <c r="AH215" s="115" t="str">
        <f t="shared" si="89"/>
        <v/>
      </c>
      <c r="AI215" s="115" t="str">
        <f t="shared" si="90"/>
        <v/>
      </c>
      <c r="AJ215" s="115" t="str">
        <f t="shared" si="91"/>
        <v/>
      </c>
      <c r="AK215" s="115" t="str">
        <f t="shared" si="92"/>
        <v/>
      </c>
      <c r="AL215" s="115" t="str">
        <f t="shared" si="93"/>
        <v/>
      </c>
      <c r="AM215" s="115" t="str">
        <f t="shared" si="94"/>
        <v/>
      </c>
      <c r="AN215" s="115" t="str">
        <f t="shared" si="95"/>
        <v/>
      </c>
      <c r="AO215" s="3"/>
      <c r="AP215" s="3"/>
      <c r="AQ215" s="3"/>
      <c r="AR215" s="3"/>
      <c r="AS215" s="3"/>
      <c r="AT215" s="3"/>
      <c r="AU215" s="3"/>
      <c r="AZ215" s="1"/>
      <c r="BA215" s="1"/>
      <c r="BB215" s="1"/>
      <c r="BC215" s="1"/>
      <c r="BD215" s="1"/>
      <c r="BE215" s="1"/>
      <c r="BF215" s="1"/>
    </row>
    <row r="216" spans="1:58">
      <c r="A216" s="109">
        <v>92</v>
      </c>
      <c r="B216" s="114" t="str">
        <f>VLOOKUP(A216,P_DIS!$B$32:$Q$263,12)</f>
        <v>-</v>
      </c>
      <c r="C216" s="114" t="str">
        <f>VLOOKUP(A216,P_DIS!$B$32:$Q$263,13)</f>
        <v>-</v>
      </c>
      <c r="D216" s="114" t="str">
        <f>VLOOKUP(A216,P_DIS!$B$32:$Q$263,15)</f>
        <v>-</v>
      </c>
      <c r="E216" s="114" t="str">
        <f>VLOOKUP(A216,P_DIS!$B$32:$Q$263,14)</f>
        <v>-</v>
      </c>
      <c r="F216" s="114">
        <f>VLOOKUP(A216,P_DIS!$B$32:$Q$263,10)</f>
        <v>0</v>
      </c>
      <c r="G216" s="114" t="str">
        <f>VLOOKUP(A216,P_DIS!$B$32:$Q$263,11)</f>
        <v>-</v>
      </c>
      <c r="H216" s="114" t="str">
        <f>VLOOKUP(A216,P_DIS!$B$32:$Q$263,16)</f>
        <v>-</v>
      </c>
      <c r="I216" s="115" t="str">
        <f t="shared" si="73"/>
        <v/>
      </c>
      <c r="J216" s="116" t="str">
        <f t="shared" si="74"/>
        <v/>
      </c>
      <c r="K216" s="117" t="str">
        <f t="shared" si="75"/>
        <v/>
      </c>
      <c r="L216" s="118" t="str">
        <f t="shared" si="76"/>
        <v/>
      </c>
      <c r="M216" s="118" t="str">
        <f t="shared" si="77"/>
        <v/>
      </c>
      <c r="N216" s="118" t="str">
        <f t="shared" si="78"/>
        <v/>
      </c>
      <c r="O216" s="118" t="str">
        <f t="shared" si="79"/>
        <v/>
      </c>
      <c r="P216" s="118" t="str">
        <f t="shared" si="80"/>
        <v/>
      </c>
      <c r="Q216" s="118" t="str">
        <f t="shared" si="81"/>
        <v/>
      </c>
      <c r="R216" s="118" t="str">
        <f t="shared" si="82"/>
        <v/>
      </c>
      <c r="S216" s="118" t="str">
        <f t="shared" si="83"/>
        <v/>
      </c>
      <c r="T216" s="119" t="str">
        <f t="shared" si="66"/>
        <v/>
      </c>
      <c r="U216" s="119" t="str">
        <f t="shared" si="67"/>
        <v/>
      </c>
      <c r="V216" s="120" t="str">
        <f t="shared" si="68"/>
        <v/>
      </c>
      <c r="W216" s="120" t="str">
        <f t="shared" si="69"/>
        <v/>
      </c>
      <c r="X216" s="120" t="str">
        <f t="shared" si="70"/>
        <v/>
      </c>
      <c r="Y216" s="121" t="str">
        <f t="shared" si="71"/>
        <v/>
      </c>
      <c r="Z216" s="121" t="str">
        <f t="shared" si="72"/>
        <v/>
      </c>
      <c r="AA216" s="122">
        <v>1</v>
      </c>
      <c r="AB216" s="123">
        <v>1</v>
      </c>
      <c r="AC216" s="123" t="str">
        <f t="shared" si="84"/>
        <v/>
      </c>
      <c r="AD216" s="123" t="str">
        <f t="shared" si="85"/>
        <v/>
      </c>
      <c r="AE216" s="123" t="str">
        <f t="shared" si="86"/>
        <v/>
      </c>
      <c r="AF216" s="123" t="str">
        <f t="shared" si="87"/>
        <v/>
      </c>
      <c r="AG216" s="123" t="str">
        <f t="shared" si="88"/>
        <v/>
      </c>
      <c r="AH216" s="115" t="str">
        <f t="shared" si="89"/>
        <v/>
      </c>
      <c r="AI216" s="115" t="str">
        <f t="shared" si="90"/>
        <v/>
      </c>
      <c r="AJ216" s="115" t="str">
        <f t="shared" si="91"/>
        <v/>
      </c>
      <c r="AK216" s="115" t="str">
        <f t="shared" si="92"/>
        <v/>
      </c>
      <c r="AL216" s="115" t="str">
        <f t="shared" si="93"/>
        <v/>
      </c>
      <c r="AM216" s="115" t="str">
        <f t="shared" si="94"/>
        <v/>
      </c>
      <c r="AN216" s="115" t="str">
        <f t="shared" si="95"/>
        <v/>
      </c>
      <c r="AO216" s="3"/>
      <c r="AP216" s="3"/>
      <c r="AQ216" s="3"/>
      <c r="AR216" s="3"/>
      <c r="AS216" s="3"/>
      <c r="AT216" s="3"/>
      <c r="AU216" s="3"/>
      <c r="AZ216" s="1"/>
      <c r="BA216" s="1"/>
      <c r="BB216" s="1"/>
      <c r="BC216" s="1"/>
      <c r="BD216" s="1"/>
      <c r="BE216" s="1"/>
      <c r="BF216" s="1"/>
    </row>
    <row r="217" spans="1:58">
      <c r="A217" s="109">
        <v>93</v>
      </c>
      <c r="B217" s="114" t="str">
        <f>VLOOKUP(A217,P_DIS!$B$32:$Q$263,12)</f>
        <v>-</v>
      </c>
      <c r="C217" s="114" t="str">
        <f>VLOOKUP(A217,P_DIS!$B$32:$Q$263,13)</f>
        <v>-</v>
      </c>
      <c r="D217" s="114" t="str">
        <f>VLOOKUP(A217,P_DIS!$B$32:$Q$263,15)</f>
        <v>-</v>
      </c>
      <c r="E217" s="114" t="str">
        <f>VLOOKUP(A217,P_DIS!$B$32:$Q$263,14)</f>
        <v>-</v>
      </c>
      <c r="F217" s="114">
        <f>VLOOKUP(A217,P_DIS!$B$32:$Q$263,10)</f>
        <v>0</v>
      </c>
      <c r="G217" s="114" t="str">
        <f>VLOOKUP(A217,P_DIS!$B$32:$Q$263,11)</f>
        <v>-</v>
      </c>
      <c r="H217" s="114" t="str">
        <f>VLOOKUP(A217,P_DIS!$B$32:$Q$263,16)</f>
        <v>-</v>
      </c>
      <c r="I217" s="115" t="str">
        <f t="shared" si="73"/>
        <v/>
      </c>
      <c r="J217" s="116" t="str">
        <f t="shared" si="74"/>
        <v/>
      </c>
      <c r="K217" s="117" t="str">
        <f t="shared" si="75"/>
        <v/>
      </c>
      <c r="L217" s="118" t="str">
        <f t="shared" si="76"/>
        <v/>
      </c>
      <c r="M217" s="118" t="str">
        <f t="shared" si="77"/>
        <v/>
      </c>
      <c r="N217" s="118" t="str">
        <f t="shared" si="78"/>
        <v/>
      </c>
      <c r="O217" s="118" t="str">
        <f t="shared" si="79"/>
        <v/>
      </c>
      <c r="P217" s="118" t="str">
        <f t="shared" si="80"/>
        <v/>
      </c>
      <c r="Q217" s="118" t="str">
        <f t="shared" si="81"/>
        <v/>
      </c>
      <c r="R217" s="118" t="str">
        <f t="shared" si="82"/>
        <v/>
      </c>
      <c r="S217" s="118" t="str">
        <f t="shared" si="83"/>
        <v/>
      </c>
      <c r="T217" s="119" t="str">
        <f t="shared" si="66"/>
        <v/>
      </c>
      <c r="U217" s="119" t="str">
        <f t="shared" si="67"/>
        <v/>
      </c>
      <c r="V217" s="120" t="str">
        <f t="shared" si="68"/>
        <v/>
      </c>
      <c r="W217" s="120" t="str">
        <f t="shared" si="69"/>
        <v/>
      </c>
      <c r="X217" s="120" t="str">
        <f t="shared" si="70"/>
        <v/>
      </c>
      <c r="Y217" s="121" t="str">
        <f t="shared" si="71"/>
        <v/>
      </c>
      <c r="Z217" s="121" t="str">
        <f t="shared" si="72"/>
        <v/>
      </c>
      <c r="AA217" s="122">
        <v>1</v>
      </c>
      <c r="AB217" s="123">
        <v>1</v>
      </c>
      <c r="AC217" s="123" t="str">
        <f t="shared" si="84"/>
        <v/>
      </c>
      <c r="AD217" s="123" t="str">
        <f t="shared" si="85"/>
        <v/>
      </c>
      <c r="AE217" s="123" t="str">
        <f t="shared" si="86"/>
        <v/>
      </c>
      <c r="AF217" s="123" t="str">
        <f t="shared" si="87"/>
        <v/>
      </c>
      <c r="AG217" s="123" t="str">
        <f t="shared" si="88"/>
        <v/>
      </c>
      <c r="AH217" s="115" t="str">
        <f t="shared" si="89"/>
        <v/>
      </c>
      <c r="AI217" s="115" t="str">
        <f t="shared" si="90"/>
        <v/>
      </c>
      <c r="AJ217" s="115" t="str">
        <f t="shared" si="91"/>
        <v/>
      </c>
      <c r="AK217" s="115" t="str">
        <f t="shared" si="92"/>
        <v/>
      </c>
      <c r="AL217" s="115" t="str">
        <f t="shared" si="93"/>
        <v/>
      </c>
      <c r="AM217" s="115" t="str">
        <f t="shared" si="94"/>
        <v/>
      </c>
      <c r="AN217" s="115" t="str">
        <f t="shared" si="95"/>
        <v/>
      </c>
      <c r="AO217" s="3"/>
      <c r="AP217" s="3"/>
      <c r="AQ217" s="3"/>
      <c r="AR217" s="3"/>
      <c r="AS217" s="3"/>
      <c r="AT217" s="3"/>
      <c r="AU217" s="3"/>
      <c r="AZ217" s="1"/>
      <c r="BA217" s="1"/>
      <c r="BB217" s="1"/>
      <c r="BC217" s="1"/>
      <c r="BD217" s="1"/>
      <c r="BE217" s="1"/>
      <c r="BF217" s="1"/>
    </row>
    <row r="218" spans="1:58">
      <c r="A218" s="109">
        <v>94</v>
      </c>
      <c r="B218" s="114" t="str">
        <f>VLOOKUP(A218,P_DIS!$B$32:$Q$263,12)</f>
        <v>-</v>
      </c>
      <c r="C218" s="114" t="str">
        <f>VLOOKUP(A218,P_DIS!$B$32:$Q$263,13)</f>
        <v>-</v>
      </c>
      <c r="D218" s="114" t="str">
        <f>VLOOKUP(A218,P_DIS!$B$32:$Q$263,15)</f>
        <v>-</v>
      </c>
      <c r="E218" s="114" t="str">
        <f>VLOOKUP(A218,P_DIS!$B$32:$Q$263,14)</f>
        <v>-</v>
      </c>
      <c r="F218" s="114">
        <f>VLOOKUP(A218,P_DIS!$B$32:$Q$263,10)</f>
        <v>0</v>
      </c>
      <c r="G218" s="114" t="str">
        <f>VLOOKUP(A218,P_DIS!$B$32:$Q$263,11)</f>
        <v>-</v>
      </c>
      <c r="H218" s="114" t="str">
        <f>VLOOKUP(A218,P_DIS!$B$32:$Q$263,16)</f>
        <v>-</v>
      </c>
      <c r="I218" s="115" t="str">
        <f t="shared" si="73"/>
        <v/>
      </c>
      <c r="J218" s="116" t="str">
        <f t="shared" si="74"/>
        <v/>
      </c>
      <c r="K218" s="117" t="str">
        <f t="shared" si="75"/>
        <v/>
      </c>
      <c r="L218" s="118" t="str">
        <f t="shared" si="76"/>
        <v/>
      </c>
      <c r="M218" s="118" t="str">
        <f t="shared" si="77"/>
        <v/>
      </c>
      <c r="N218" s="118" t="str">
        <f t="shared" si="78"/>
        <v/>
      </c>
      <c r="O218" s="118" t="str">
        <f t="shared" si="79"/>
        <v/>
      </c>
      <c r="P218" s="118" t="str">
        <f t="shared" si="80"/>
        <v/>
      </c>
      <c r="Q218" s="118" t="str">
        <f t="shared" si="81"/>
        <v/>
      </c>
      <c r="R218" s="118" t="str">
        <f t="shared" si="82"/>
        <v/>
      </c>
      <c r="S218" s="118" t="str">
        <f t="shared" si="83"/>
        <v/>
      </c>
      <c r="T218" s="119" t="str">
        <f t="shared" si="66"/>
        <v/>
      </c>
      <c r="U218" s="119" t="str">
        <f t="shared" si="67"/>
        <v/>
      </c>
      <c r="V218" s="120" t="str">
        <f t="shared" si="68"/>
        <v/>
      </c>
      <c r="W218" s="120" t="str">
        <f t="shared" si="69"/>
        <v/>
      </c>
      <c r="X218" s="120" t="str">
        <f t="shared" si="70"/>
        <v/>
      </c>
      <c r="Y218" s="121" t="str">
        <f t="shared" si="71"/>
        <v/>
      </c>
      <c r="Z218" s="121" t="str">
        <f t="shared" si="72"/>
        <v/>
      </c>
      <c r="AA218" s="122">
        <v>1</v>
      </c>
      <c r="AB218" s="123">
        <v>1</v>
      </c>
      <c r="AC218" s="123" t="str">
        <f t="shared" si="84"/>
        <v/>
      </c>
      <c r="AD218" s="123" t="str">
        <f t="shared" si="85"/>
        <v/>
      </c>
      <c r="AE218" s="123" t="str">
        <f t="shared" si="86"/>
        <v/>
      </c>
      <c r="AF218" s="123" t="str">
        <f t="shared" si="87"/>
        <v/>
      </c>
      <c r="AG218" s="123" t="str">
        <f t="shared" si="88"/>
        <v/>
      </c>
      <c r="AH218" s="115" t="str">
        <f t="shared" si="89"/>
        <v/>
      </c>
      <c r="AI218" s="115" t="str">
        <f t="shared" si="90"/>
        <v/>
      </c>
      <c r="AJ218" s="115" t="str">
        <f t="shared" si="91"/>
        <v/>
      </c>
      <c r="AK218" s="115" t="str">
        <f t="shared" si="92"/>
        <v/>
      </c>
      <c r="AL218" s="115" t="str">
        <f t="shared" si="93"/>
        <v/>
      </c>
      <c r="AM218" s="115" t="str">
        <f t="shared" si="94"/>
        <v/>
      </c>
      <c r="AN218" s="115" t="str">
        <f t="shared" si="95"/>
        <v/>
      </c>
      <c r="AO218" s="3"/>
      <c r="AP218" s="3"/>
      <c r="AQ218" s="3"/>
      <c r="AR218" s="3"/>
      <c r="AS218" s="3"/>
      <c r="AT218" s="3"/>
      <c r="AU218" s="3"/>
      <c r="AZ218" s="1"/>
      <c r="BA218" s="1"/>
      <c r="BB218" s="1"/>
      <c r="BC218" s="1"/>
      <c r="BD218" s="1"/>
      <c r="BE218" s="1"/>
      <c r="BF218" s="1"/>
    </row>
    <row r="219" spans="1:58">
      <c r="A219" s="109">
        <v>95</v>
      </c>
      <c r="B219" s="114" t="str">
        <f>VLOOKUP(A219,P_DIS!$B$32:$Q$263,12)</f>
        <v>-</v>
      </c>
      <c r="C219" s="114" t="str">
        <f>VLOOKUP(A219,P_DIS!$B$32:$Q$263,13)</f>
        <v>-</v>
      </c>
      <c r="D219" s="114" t="str">
        <f>VLOOKUP(A219,P_DIS!$B$32:$Q$263,15)</f>
        <v>-</v>
      </c>
      <c r="E219" s="114" t="str">
        <f>VLOOKUP(A219,P_DIS!$B$32:$Q$263,14)</f>
        <v>-</v>
      </c>
      <c r="F219" s="114">
        <f>VLOOKUP(A219,P_DIS!$B$32:$Q$263,10)</f>
        <v>0</v>
      </c>
      <c r="G219" s="114" t="str">
        <f>VLOOKUP(A219,P_DIS!$B$32:$Q$263,11)</f>
        <v>-</v>
      </c>
      <c r="H219" s="114" t="str">
        <f>VLOOKUP(A219,P_DIS!$B$32:$Q$263,16)</f>
        <v>-</v>
      </c>
      <c r="I219" s="115" t="str">
        <f t="shared" si="73"/>
        <v/>
      </c>
      <c r="J219" s="116" t="str">
        <f t="shared" si="74"/>
        <v/>
      </c>
      <c r="K219" s="117" t="str">
        <f t="shared" si="75"/>
        <v/>
      </c>
      <c r="L219" s="118" t="str">
        <f t="shared" si="76"/>
        <v/>
      </c>
      <c r="M219" s="118" t="str">
        <f t="shared" si="77"/>
        <v/>
      </c>
      <c r="N219" s="118" t="str">
        <f t="shared" si="78"/>
        <v/>
      </c>
      <c r="O219" s="118" t="str">
        <f t="shared" si="79"/>
        <v/>
      </c>
      <c r="P219" s="118" t="str">
        <f t="shared" si="80"/>
        <v/>
      </c>
      <c r="Q219" s="118" t="str">
        <f t="shared" si="81"/>
        <v/>
      </c>
      <c r="R219" s="118" t="str">
        <f t="shared" si="82"/>
        <v/>
      </c>
      <c r="S219" s="118" t="str">
        <f t="shared" si="83"/>
        <v/>
      </c>
      <c r="T219" s="119" t="str">
        <f t="shared" si="66"/>
        <v/>
      </c>
      <c r="U219" s="119" t="str">
        <f t="shared" si="67"/>
        <v/>
      </c>
      <c r="V219" s="120" t="str">
        <f t="shared" si="68"/>
        <v/>
      </c>
      <c r="W219" s="120" t="str">
        <f t="shared" si="69"/>
        <v/>
      </c>
      <c r="X219" s="120" t="str">
        <f t="shared" si="70"/>
        <v/>
      </c>
      <c r="Y219" s="121" t="str">
        <f t="shared" si="71"/>
        <v/>
      </c>
      <c r="Z219" s="121" t="str">
        <f t="shared" si="72"/>
        <v/>
      </c>
      <c r="AA219" s="122">
        <v>1</v>
      </c>
      <c r="AB219" s="123">
        <v>1</v>
      </c>
      <c r="AC219" s="123" t="str">
        <f t="shared" si="84"/>
        <v/>
      </c>
      <c r="AD219" s="123" t="str">
        <f t="shared" si="85"/>
        <v/>
      </c>
      <c r="AE219" s="123" t="str">
        <f t="shared" si="86"/>
        <v/>
      </c>
      <c r="AF219" s="123" t="str">
        <f t="shared" si="87"/>
        <v/>
      </c>
      <c r="AG219" s="123" t="str">
        <f t="shared" si="88"/>
        <v/>
      </c>
      <c r="AH219" s="115" t="str">
        <f t="shared" si="89"/>
        <v/>
      </c>
      <c r="AI219" s="115" t="str">
        <f t="shared" si="90"/>
        <v/>
      </c>
      <c r="AJ219" s="115" t="str">
        <f t="shared" si="91"/>
        <v/>
      </c>
      <c r="AK219" s="115" t="str">
        <f t="shared" si="92"/>
        <v/>
      </c>
      <c r="AL219" s="115" t="str">
        <f t="shared" si="93"/>
        <v/>
      </c>
      <c r="AM219" s="115" t="str">
        <f t="shared" si="94"/>
        <v/>
      </c>
      <c r="AN219" s="115" t="str">
        <f t="shared" si="95"/>
        <v/>
      </c>
      <c r="AO219" s="3"/>
      <c r="AP219" s="3"/>
      <c r="AQ219" s="3"/>
      <c r="AR219" s="3"/>
      <c r="AS219" s="3"/>
      <c r="AT219" s="3"/>
      <c r="AU219" s="3"/>
      <c r="AZ219" s="1"/>
      <c r="BA219" s="1"/>
      <c r="BB219" s="1"/>
      <c r="BC219" s="1"/>
      <c r="BD219" s="1"/>
      <c r="BE219" s="1"/>
      <c r="BF219" s="1"/>
    </row>
    <row r="220" spans="1:58">
      <c r="A220" s="109">
        <v>96</v>
      </c>
      <c r="B220" s="114" t="str">
        <f>VLOOKUP(A220,P_DIS!$B$32:$Q$263,12)</f>
        <v>-</v>
      </c>
      <c r="C220" s="114" t="str">
        <f>VLOOKUP(A220,P_DIS!$B$32:$Q$263,13)</f>
        <v>-</v>
      </c>
      <c r="D220" s="114" t="str">
        <f>VLOOKUP(A220,P_DIS!$B$32:$Q$263,15)</f>
        <v>-</v>
      </c>
      <c r="E220" s="114" t="str">
        <f>VLOOKUP(A220,P_DIS!$B$32:$Q$263,14)</f>
        <v>-</v>
      </c>
      <c r="F220" s="114">
        <f>VLOOKUP(A220,P_DIS!$B$32:$Q$263,10)</f>
        <v>0</v>
      </c>
      <c r="G220" s="114" t="str">
        <f>VLOOKUP(A220,P_DIS!$B$32:$Q$263,11)</f>
        <v>-</v>
      </c>
      <c r="H220" s="114" t="str">
        <f>VLOOKUP(A220,P_DIS!$B$32:$Q$263,16)</f>
        <v>-</v>
      </c>
      <c r="I220" s="115" t="str">
        <f t="shared" si="73"/>
        <v/>
      </c>
      <c r="J220" s="116" t="str">
        <f t="shared" si="74"/>
        <v/>
      </c>
      <c r="K220" s="117" t="str">
        <f t="shared" si="75"/>
        <v/>
      </c>
      <c r="L220" s="118" t="str">
        <f t="shared" si="76"/>
        <v/>
      </c>
      <c r="M220" s="118" t="str">
        <f t="shared" si="77"/>
        <v/>
      </c>
      <c r="N220" s="118" t="str">
        <f t="shared" si="78"/>
        <v/>
      </c>
      <c r="O220" s="118" t="str">
        <f t="shared" si="79"/>
        <v/>
      </c>
      <c r="P220" s="118" t="str">
        <f t="shared" si="80"/>
        <v/>
      </c>
      <c r="Q220" s="118" t="str">
        <f t="shared" si="81"/>
        <v/>
      </c>
      <c r="R220" s="118" t="str">
        <f t="shared" si="82"/>
        <v/>
      </c>
      <c r="S220" s="118" t="str">
        <f t="shared" si="83"/>
        <v/>
      </c>
      <c r="T220" s="119" t="str">
        <f t="shared" si="66"/>
        <v/>
      </c>
      <c r="U220" s="119" t="str">
        <f t="shared" si="67"/>
        <v/>
      </c>
      <c r="V220" s="120" t="str">
        <f t="shared" si="68"/>
        <v/>
      </c>
      <c r="W220" s="120" t="str">
        <f t="shared" si="69"/>
        <v/>
      </c>
      <c r="X220" s="120" t="str">
        <f t="shared" si="70"/>
        <v/>
      </c>
      <c r="Y220" s="121" t="str">
        <f t="shared" si="71"/>
        <v/>
      </c>
      <c r="Z220" s="121" t="str">
        <f t="shared" si="72"/>
        <v/>
      </c>
      <c r="AA220" s="122">
        <v>1</v>
      </c>
      <c r="AB220" s="123">
        <v>1</v>
      </c>
      <c r="AC220" s="123" t="str">
        <f t="shared" si="84"/>
        <v/>
      </c>
      <c r="AD220" s="123" t="str">
        <f t="shared" si="85"/>
        <v/>
      </c>
      <c r="AE220" s="123" t="str">
        <f t="shared" si="86"/>
        <v/>
      </c>
      <c r="AF220" s="123" t="str">
        <f t="shared" si="87"/>
        <v/>
      </c>
      <c r="AG220" s="123" t="str">
        <f t="shared" si="88"/>
        <v/>
      </c>
      <c r="AH220" s="115" t="str">
        <f t="shared" si="89"/>
        <v/>
      </c>
      <c r="AI220" s="115" t="str">
        <f t="shared" si="90"/>
        <v/>
      </c>
      <c r="AJ220" s="115" t="str">
        <f t="shared" si="91"/>
        <v/>
      </c>
      <c r="AK220" s="115" t="str">
        <f t="shared" si="92"/>
        <v/>
      </c>
      <c r="AL220" s="115" t="str">
        <f t="shared" si="93"/>
        <v/>
      </c>
      <c r="AM220" s="115" t="str">
        <f t="shared" si="94"/>
        <v/>
      </c>
      <c r="AN220" s="115" t="str">
        <f t="shared" si="95"/>
        <v/>
      </c>
      <c r="AO220" s="3"/>
      <c r="AP220" s="3"/>
      <c r="AQ220" s="3"/>
      <c r="AR220" s="3"/>
      <c r="AS220" s="3"/>
      <c r="AT220" s="3"/>
      <c r="AU220" s="3"/>
      <c r="AZ220" s="1"/>
      <c r="BA220" s="1"/>
      <c r="BB220" s="1"/>
      <c r="BC220" s="1"/>
      <c r="BD220" s="1"/>
      <c r="BE220" s="1"/>
      <c r="BF220" s="1"/>
    </row>
    <row r="221" spans="1:58">
      <c r="A221" s="109">
        <v>97</v>
      </c>
      <c r="B221" s="114" t="str">
        <f>VLOOKUP(A221,P_DIS!$B$32:$Q$263,12)</f>
        <v>-</v>
      </c>
      <c r="C221" s="114" t="str">
        <f>VLOOKUP(A221,P_DIS!$B$32:$Q$263,13)</f>
        <v>-</v>
      </c>
      <c r="D221" s="114" t="str">
        <f>VLOOKUP(A221,P_DIS!$B$32:$Q$263,15)</f>
        <v>-</v>
      </c>
      <c r="E221" s="114" t="str">
        <f>VLOOKUP(A221,P_DIS!$B$32:$Q$263,14)</f>
        <v>-</v>
      </c>
      <c r="F221" s="114">
        <f>VLOOKUP(A221,P_DIS!$B$32:$Q$263,10)</f>
        <v>0</v>
      </c>
      <c r="G221" s="114" t="str">
        <f>VLOOKUP(A221,P_DIS!$B$32:$Q$263,11)</f>
        <v>-</v>
      </c>
      <c r="H221" s="114" t="str">
        <f>VLOOKUP(A221,P_DIS!$B$32:$Q$263,16)</f>
        <v>-</v>
      </c>
      <c r="I221" s="115" t="str">
        <f t="shared" si="73"/>
        <v/>
      </c>
      <c r="J221" s="116" t="str">
        <f t="shared" si="74"/>
        <v/>
      </c>
      <c r="K221" s="117" t="str">
        <f t="shared" si="75"/>
        <v/>
      </c>
      <c r="L221" s="118" t="str">
        <f t="shared" si="76"/>
        <v/>
      </c>
      <c r="M221" s="118" t="str">
        <f t="shared" si="77"/>
        <v/>
      </c>
      <c r="N221" s="118" t="str">
        <f t="shared" si="78"/>
        <v/>
      </c>
      <c r="O221" s="118" t="str">
        <f t="shared" si="79"/>
        <v/>
      </c>
      <c r="P221" s="118" t="str">
        <f t="shared" si="80"/>
        <v/>
      </c>
      <c r="Q221" s="118" t="str">
        <f t="shared" si="81"/>
        <v/>
      </c>
      <c r="R221" s="118" t="str">
        <f t="shared" si="82"/>
        <v/>
      </c>
      <c r="S221" s="118" t="str">
        <f t="shared" si="83"/>
        <v/>
      </c>
      <c r="T221" s="119" t="str">
        <f t="shared" si="66"/>
        <v/>
      </c>
      <c r="U221" s="119" t="str">
        <f t="shared" si="67"/>
        <v/>
      </c>
      <c r="V221" s="120" t="str">
        <f t="shared" si="68"/>
        <v/>
      </c>
      <c r="W221" s="120" t="str">
        <f t="shared" si="69"/>
        <v/>
      </c>
      <c r="X221" s="120" t="str">
        <f t="shared" ref="X221:X252" si="96">IF(H221="-","",SQRT($D$88+($D$89*POWER(B221,2))))</f>
        <v/>
      </c>
      <c r="Y221" s="121" t="str">
        <f t="shared" ref="Y221:Y252" si="97">IF(H221="-","",$D$109)</f>
        <v/>
      </c>
      <c r="Z221" s="121" t="str">
        <f t="shared" ref="Z221:Z252" si="98">IF(H221="-","",$G$118)</f>
        <v/>
      </c>
      <c r="AA221" s="122">
        <v>1</v>
      </c>
      <c r="AB221" s="123">
        <v>1</v>
      </c>
      <c r="AC221" s="123" t="str">
        <f t="shared" si="84"/>
        <v/>
      </c>
      <c r="AD221" s="123" t="str">
        <f t="shared" si="85"/>
        <v/>
      </c>
      <c r="AE221" s="123" t="str">
        <f t="shared" si="86"/>
        <v/>
      </c>
      <c r="AF221" s="123" t="str">
        <f t="shared" si="87"/>
        <v/>
      </c>
      <c r="AG221" s="123" t="str">
        <f t="shared" si="88"/>
        <v/>
      </c>
      <c r="AH221" s="115" t="str">
        <f t="shared" si="89"/>
        <v/>
      </c>
      <c r="AI221" s="115" t="str">
        <f t="shared" si="90"/>
        <v/>
      </c>
      <c r="AJ221" s="115" t="str">
        <f t="shared" si="91"/>
        <v/>
      </c>
      <c r="AK221" s="115" t="str">
        <f t="shared" si="92"/>
        <v/>
      </c>
      <c r="AL221" s="115" t="str">
        <f t="shared" si="93"/>
        <v/>
      </c>
      <c r="AM221" s="115" t="str">
        <f t="shared" si="94"/>
        <v/>
      </c>
      <c r="AN221" s="115" t="str">
        <f t="shared" si="95"/>
        <v/>
      </c>
      <c r="AO221" s="3"/>
      <c r="AP221" s="3"/>
      <c r="AQ221" s="3"/>
      <c r="AR221" s="3"/>
      <c r="AS221" s="3"/>
      <c r="AT221" s="3"/>
      <c r="AU221" s="3"/>
      <c r="AZ221" s="1"/>
      <c r="BA221" s="1"/>
      <c r="BB221" s="1"/>
      <c r="BC221" s="1"/>
      <c r="BD221" s="1"/>
      <c r="BE221" s="1"/>
      <c r="BF221" s="1"/>
    </row>
    <row r="222" spans="1:58">
      <c r="A222" s="109">
        <v>98</v>
      </c>
      <c r="B222" s="114" t="str">
        <f>VLOOKUP(A222,P_DIS!$B$32:$Q$263,12)</f>
        <v>-</v>
      </c>
      <c r="C222" s="114" t="str">
        <f>VLOOKUP(A222,P_DIS!$B$32:$Q$263,13)</f>
        <v>-</v>
      </c>
      <c r="D222" s="114" t="str">
        <f>VLOOKUP(A222,P_DIS!$B$32:$Q$263,15)</f>
        <v>-</v>
      </c>
      <c r="E222" s="114" t="str">
        <f>VLOOKUP(A222,P_DIS!$B$32:$Q$263,14)</f>
        <v>-</v>
      </c>
      <c r="F222" s="114">
        <f>VLOOKUP(A222,P_DIS!$B$32:$Q$263,10)</f>
        <v>0</v>
      </c>
      <c r="G222" s="114" t="str">
        <f>VLOOKUP(A222,P_DIS!$B$32:$Q$263,11)</f>
        <v>-</v>
      </c>
      <c r="H222" s="114" t="str">
        <f>VLOOKUP(A222,P_DIS!$B$32:$Q$263,16)</f>
        <v>-</v>
      </c>
      <c r="I222" s="115" t="str">
        <f t="shared" si="73"/>
        <v/>
      </c>
      <c r="J222" s="116" t="str">
        <f t="shared" si="74"/>
        <v/>
      </c>
      <c r="K222" s="117" t="str">
        <f t="shared" si="75"/>
        <v/>
      </c>
      <c r="L222" s="118" t="str">
        <f t="shared" si="76"/>
        <v/>
      </c>
      <c r="M222" s="118" t="str">
        <f t="shared" si="77"/>
        <v/>
      </c>
      <c r="N222" s="118" t="str">
        <f t="shared" si="78"/>
        <v/>
      </c>
      <c r="O222" s="118" t="str">
        <f t="shared" si="79"/>
        <v/>
      </c>
      <c r="P222" s="118" t="str">
        <f t="shared" si="80"/>
        <v/>
      </c>
      <c r="Q222" s="118" t="str">
        <f t="shared" si="81"/>
        <v/>
      </c>
      <c r="R222" s="118" t="str">
        <f t="shared" si="82"/>
        <v/>
      </c>
      <c r="S222" s="118" t="str">
        <f t="shared" si="83"/>
        <v/>
      </c>
      <c r="T222" s="119" t="str">
        <f t="shared" si="66"/>
        <v/>
      </c>
      <c r="U222" s="119" t="str">
        <f t="shared" si="67"/>
        <v/>
      </c>
      <c r="V222" s="120" t="str">
        <f t="shared" si="68"/>
        <v/>
      </c>
      <c r="W222" s="120" t="str">
        <f t="shared" si="69"/>
        <v/>
      </c>
      <c r="X222" s="120" t="str">
        <f t="shared" si="96"/>
        <v/>
      </c>
      <c r="Y222" s="121" t="str">
        <f t="shared" si="97"/>
        <v/>
      </c>
      <c r="Z222" s="121" t="str">
        <f t="shared" si="98"/>
        <v/>
      </c>
      <c r="AA222" s="122">
        <v>1</v>
      </c>
      <c r="AB222" s="123">
        <v>1</v>
      </c>
      <c r="AC222" s="123" t="str">
        <f t="shared" si="84"/>
        <v/>
      </c>
      <c r="AD222" s="123" t="str">
        <f t="shared" si="85"/>
        <v/>
      </c>
      <c r="AE222" s="123" t="str">
        <f t="shared" si="86"/>
        <v/>
      </c>
      <c r="AF222" s="123" t="str">
        <f t="shared" si="87"/>
        <v/>
      </c>
      <c r="AG222" s="123" t="str">
        <f t="shared" si="88"/>
        <v/>
      </c>
      <c r="AH222" s="115" t="str">
        <f t="shared" si="89"/>
        <v/>
      </c>
      <c r="AI222" s="115" t="str">
        <f t="shared" si="90"/>
        <v/>
      </c>
      <c r="AJ222" s="115" t="str">
        <f t="shared" si="91"/>
        <v/>
      </c>
      <c r="AK222" s="115" t="str">
        <f t="shared" si="92"/>
        <v/>
      </c>
      <c r="AL222" s="115" t="str">
        <f t="shared" si="93"/>
        <v/>
      </c>
      <c r="AM222" s="115" t="str">
        <f t="shared" si="94"/>
        <v/>
      </c>
      <c r="AN222" s="115" t="str">
        <f t="shared" si="95"/>
        <v/>
      </c>
      <c r="AO222" s="3"/>
      <c r="AP222" s="3"/>
      <c r="AQ222" s="3"/>
      <c r="AR222" s="3"/>
      <c r="AS222" s="3"/>
      <c r="AT222" s="3"/>
      <c r="AU222" s="3"/>
      <c r="AZ222" s="1"/>
      <c r="BA222" s="1"/>
      <c r="BB222" s="1"/>
      <c r="BC222" s="1"/>
      <c r="BD222" s="1"/>
      <c r="BE222" s="1"/>
      <c r="BF222" s="1"/>
    </row>
    <row r="223" spans="1:58">
      <c r="A223" s="109">
        <v>99</v>
      </c>
      <c r="B223" s="114" t="str">
        <f>VLOOKUP(A223,P_DIS!$B$32:$Q$263,12)</f>
        <v>-</v>
      </c>
      <c r="C223" s="114" t="str">
        <f>VLOOKUP(A223,P_DIS!$B$32:$Q$263,13)</f>
        <v>-</v>
      </c>
      <c r="D223" s="114" t="str">
        <f>VLOOKUP(A223,P_DIS!$B$32:$Q$263,15)</f>
        <v>-</v>
      </c>
      <c r="E223" s="114" t="str">
        <f>VLOOKUP(A223,P_DIS!$B$32:$Q$263,14)</f>
        <v>-</v>
      </c>
      <c r="F223" s="114">
        <f>VLOOKUP(A223,P_DIS!$B$32:$Q$263,10)</f>
        <v>0</v>
      </c>
      <c r="G223" s="114" t="str">
        <f>VLOOKUP(A223,P_DIS!$B$32:$Q$263,11)</f>
        <v>-</v>
      </c>
      <c r="H223" s="114" t="str">
        <f>VLOOKUP(A223,P_DIS!$B$32:$Q$263,16)</f>
        <v>-</v>
      </c>
      <c r="I223" s="115" t="str">
        <f t="shared" si="73"/>
        <v/>
      </c>
      <c r="J223" s="116" t="str">
        <f t="shared" si="74"/>
        <v/>
      </c>
      <c r="K223" s="117" t="str">
        <f t="shared" si="75"/>
        <v/>
      </c>
      <c r="L223" s="118" t="str">
        <f t="shared" si="76"/>
        <v/>
      </c>
      <c r="M223" s="118" t="str">
        <f t="shared" si="77"/>
        <v/>
      </c>
      <c r="N223" s="118" t="str">
        <f t="shared" si="78"/>
        <v/>
      </c>
      <c r="O223" s="118" t="str">
        <f t="shared" si="79"/>
        <v/>
      </c>
      <c r="P223" s="118" t="str">
        <f t="shared" si="80"/>
        <v/>
      </c>
      <c r="Q223" s="118" t="str">
        <f t="shared" si="81"/>
        <v/>
      </c>
      <c r="R223" s="118" t="str">
        <f t="shared" si="82"/>
        <v/>
      </c>
      <c r="S223" s="118" t="str">
        <f t="shared" si="83"/>
        <v/>
      </c>
      <c r="T223" s="119" t="str">
        <f t="shared" si="66"/>
        <v/>
      </c>
      <c r="U223" s="119" t="str">
        <f t="shared" si="67"/>
        <v/>
      </c>
      <c r="V223" s="120" t="str">
        <f t="shared" si="68"/>
        <v/>
      </c>
      <c r="W223" s="120" t="str">
        <f t="shared" si="69"/>
        <v/>
      </c>
      <c r="X223" s="120" t="str">
        <f t="shared" si="96"/>
        <v/>
      </c>
      <c r="Y223" s="121" t="str">
        <f t="shared" si="97"/>
        <v/>
      </c>
      <c r="Z223" s="121" t="str">
        <f t="shared" si="98"/>
        <v/>
      </c>
      <c r="AA223" s="122">
        <v>1</v>
      </c>
      <c r="AB223" s="123">
        <v>1</v>
      </c>
      <c r="AC223" s="123" t="str">
        <f t="shared" si="84"/>
        <v/>
      </c>
      <c r="AD223" s="123" t="str">
        <f t="shared" si="85"/>
        <v/>
      </c>
      <c r="AE223" s="123" t="str">
        <f t="shared" si="86"/>
        <v/>
      </c>
      <c r="AF223" s="123" t="str">
        <f t="shared" si="87"/>
        <v/>
      </c>
      <c r="AG223" s="123" t="str">
        <f t="shared" si="88"/>
        <v/>
      </c>
      <c r="AH223" s="115" t="str">
        <f t="shared" si="89"/>
        <v/>
      </c>
      <c r="AI223" s="115" t="str">
        <f t="shared" si="90"/>
        <v/>
      </c>
      <c r="AJ223" s="115" t="str">
        <f t="shared" si="91"/>
        <v/>
      </c>
      <c r="AK223" s="115" t="str">
        <f t="shared" si="92"/>
        <v/>
      </c>
      <c r="AL223" s="115" t="str">
        <f t="shared" si="93"/>
        <v/>
      </c>
      <c r="AM223" s="115" t="str">
        <f t="shared" si="94"/>
        <v/>
      </c>
      <c r="AN223" s="115" t="str">
        <f t="shared" si="95"/>
        <v/>
      </c>
      <c r="AO223" s="3"/>
      <c r="AP223" s="3"/>
      <c r="AQ223" s="3"/>
      <c r="AR223" s="3"/>
      <c r="AS223" s="3"/>
      <c r="AT223" s="3"/>
      <c r="AU223" s="3"/>
      <c r="AZ223" s="1"/>
      <c r="BA223" s="1"/>
      <c r="BB223" s="1"/>
      <c r="BC223" s="1"/>
      <c r="BD223" s="1"/>
      <c r="BE223" s="1"/>
      <c r="BF223" s="1"/>
    </row>
    <row r="224" spans="1:58">
      <c r="A224" s="109">
        <v>100</v>
      </c>
      <c r="B224" s="114" t="str">
        <f>VLOOKUP(A224,P_DIS!$B$32:$Q$263,12)</f>
        <v>-</v>
      </c>
      <c r="C224" s="114" t="str">
        <f>VLOOKUP(A224,P_DIS!$B$32:$Q$263,13)</f>
        <v>-</v>
      </c>
      <c r="D224" s="114" t="str">
        <f>VLOOKUP(A224,P_DIS!$B$32:$Q$263,15)</f>
        <v>-</v>
      </c>
      <c r="E224" s="114" t="str">
        <f>VLOOKUP(A224,P_DIS!$B$32:$Q$263,14)</f>
        <v>-</v>
      </c>
      <c r="F224" s="114">
        <f>VLOOKUP(A224,P_DIS!$B$32:$Q$263,10)</f>
        <v>0</v>
      </c>
      <c r="G224" s="114" t="str">
        <f>VLOOKUP(A224,P_DIS!$B$32:$Q$263,11)</f>
        <v>-</v>
      </c>
      <c r="H224" s="114" t="str">
        <f>VLOOKUP(A224,P_DIS!$B$32:$Q$263,16)</f>
        <v>-</v>
      </c>
      <c r="I224" s="115" t="str">
        <f t="shared" si="73"/>
        <v/>
      </c>
      <c r="J224" s="116" t="str">
        <f t="shared" si="74"/>
        <v/>
      </c>
      <c r="K224" s="117" t="str">
        <f t="shared" si="75"/>
        <v/>
      </c>
      <c r="L224" s="118" t="str">
        <f t="shared" si="76"/>
        <v/>
      </c>
      <c r="M224" s="118" t="str">
        <f t="shared" si="77"/>
        <v/>
      </c>
      <c r="N224" s="118" t="str">
        <f t="shared" si="78"/>
        <v/>
      </c>
      <c r="O224" s="118" t="str">
        <f t="shared" si="79"/>
        <v/>
      </c>
      <c r="P224" s="118" t="str">
        <f t="shared" si="80"/>
        <v/>
      </c>
      <c r="Q224" s="118" t="str">
        <f t="shared" si="81"/>
        <v/>
      </c>
      <c r="R224" s="118" t="str">
        <f t="shared" si="82"/>
        <v/>
      </c>
      <c r="S224" s="118" t="str">
        <f t="shared" si="83"/>
        <v/>
      </c>
      <c r="T224" s="119" t="str">
        <f t="shared" si="66"/>
        <v/>
      </c>
      <c r="U224" s="119" t="str">
        <f t="shared" si="67"/>
        <v/>
      </c>
      <c r="V224" s="120" t="str">
        <f t="shared" si="68"/>
        <v/>
      </c>
      <c r="W224" s="120" t="str">
        <f t="shared" si="69"/>
        <v/>
      </c>
      <c r="X224" s="120" t="str">
        <f t="shared" si="96"/>
        <v/>
      </c>
      <c r="Y224" s="121" t="str">
        <f t="shared" si="97"/>
        <v/>
      </c>
      <c r="Z224" s="121" t="str">
        <f t="shared" si="98"/>
        <v/>
      </c>
      <c r="AA224" s="122">
        <v>1</v>
      </c>
      <c r="AB224" s="123">
        <v>1</v>
      </c>
      <c r="AC224" s="123" t="str">
        <f t="shared" si="84"/>
        <v/>
      </c>
      <c r="AD224" s="123" t="str">
        <f t="shared" si="85"/>
        <v/>
      </c>
      <c r="AE224" s="123" t="str">
        <f t="shared" si="86"/>
        <v/>
      </c>
      <c r="AF224" s="123" t="str">
        <f t="shared" si="87"/>
        <v/>
      </c>
      <c r="AG224" s="123" t="str">
        <f t="shared" si="88"/>
        <v/>
      </c>
      <c r="AH224" s="115" t="str">
        <f t="shared" si="89"/>
        <v/>
      </c>
      <c r="AI224" s="115" t="str">
        <f t="shared" si="90"/>
        <v/>
      </c>
      <c r="AJ224" s="115" t="str">
        <f t="shared" si="91"/>
        <v/>
      </c>
      <c r="AK224" s="115" t="str">
        <f t="shared" si="92"/>
        <v/>
      </c>
      <c r="AL224" s="115" t="str">
        <f t="shared" si="93"/>
        <v/>
      </c>
      <c r="AM224" s="115" t="str">
        <f t="shared" si="94"/>
        <v/>
      </c>
      <c r="AN224" s="115" t="str">
        <f t="shared" si="95"/>
        <v/>
      </c>
      <c r="AO224" s="3"/>
      <c r="AP224" s="3"/>
      <c r="AQ224" s="3"/>
      <c r="AR224" s="3"/>
      <c r="AS224" s="3"/>
      <c r="AT224" s="3"/>
      <c r="AU224" s="3"/>
      <c r="AZ224" s="1"/>
      <c r="BA224" s="1"/>
      <c r="BB224" s="1"/>
      <c r="BC224" s="1"/>
      <c r="BD224" s="1"/>
      <c r="BE224" s="1"/>
      <c r="BF224" s="1"/>
    </row>
    <row r="225" spans="1:58">
      <c r="A225" s="109">
        <v>101</v>
      </c>
      <c r="B225" s="114" t="str">
        <f>VLOOKUP(A225,P_DIS!$B$32:$Q$263,12)</f>
        <v>-</v>
      </c>
      <c r="C225" s="114" t="str">
        <f>VLOOKUP(A225,P_DIS!$B$32:$Q$263,13)</f>
        <v>-</v>
      </c>
      <c r="D225" s="114" t="str">
        <f>VLOOKUP(A225,P_DIS!$B$32:$Q$263,15)</f>
        <v>-</v>
      </c>
      <c r="E225" s="114" t="str">
        <f>VLOOKUP(A225,P_DIS!$B$32:$Q$263,14)</f>
        <v>-</v>
      </c>
      <c r="F225" s="114">
        <f>VLOOKUP(A225,P_DIS!$B$32:$Q$263,10)</f>
        <v>0</v>
      </c>
      <c r="G225" s="114" t="str">
        <f>VLOOKUP(A225,P_DIS!$B$32:$Q$263,11)</f>
        <v>-</v>
      </c>
      <c r="H225" s="114" t="str">
        <f>VLOOKUP(A225,P_DIS!$B$32:$Q$263,16)</f>
        <v>-</v>
      </c>
      <c r="I225" s="115" t="str">
        <f t="shared" si="73"/>
        <v/>
      </c>
      <c r="J225" s="116" t="str">
        <f t="shared" si="74"/>
        <v/>
      </c>
      <c r="K225" s="117" t="str">
        <f t="shared" si="75"/>
        <v/>
      </c>
      <c r="L225" s="118" t="str">
        <f t="shared" si="76"/>
        <v/>
      </c>
      <c r="M225" s="118" t="str">
        <f t="shared" si="77"/>
        <v/>
      </c>
      <c r="N225" s="118" t="str">
        <f t="shared" si="78"/>
        <v/>
      </c>
      <c r="O225" s="118" t="str">
        <f t="shared" si="79"/>
        <v/>
      </c>
      <c r="P225" s="118" t="str">
        <f t="shared" si="80"/>
        <v/>
      </c>
      <c r="Q225" s="118" t="str">
        <f t="shared" si="81"/>
        <v/>
      </c>
      <c r="R225" s="118" t="str">
        <f t="shared" si="82"/>
        <v/>
      </c>
      <c r="S225" s="118" t="str">
        <f t="shared" si="83"/>
        <v/>
      </c>
      <c r="T225" s="119" t="str">
        <f t="shared" si="66"/>
        <v/>
      </c>
      <c r="U225" s="119" t="str">
        <f t="shared" si="67"/>
        <v/>
      </c>
      <c r="V225" s="120" t="str">
        <f t="shared" si="68"/>
        <v/>
      </c>
      <c r="W225" s="120" t="str">
        <f t="shared" si="69"/>
        <v/>
      </c>
      <c r="X225" s="120" t="str">
        <f t="shared" si="96"/>
        <v/>
      </c>
      <c r="Y225" s="121" t="str">
        <f t="shared" si="97"/>
        <v/>
      </c>
      <c r="Z225" s="121" t="str">
        <f t="shared" si="98"/>
        <v/>
      </c>
      <c r="AA225" s="122">
        <v>1</v>
      </c>
      <c r="AB225" s="123">
        <v>1</v>
      </c>
      <c r="AC225" s="123" t="str">
        <f t="shared" si="84"/>
        <v/>
      </c>
      <c r="AD225" s="123" t="str">
        <f t="shared" si="85"/>
        <v/>
      </c>
      <c r="AE225" s="123" t="str">
        <f t="shared" si="86"/>
        <v/>
      </c>
      <c r="AF225" s="123" t="str">
        <f t="shared" si="87"/>
        <v/>
      </c>
      <c r="AG225" s="123" t="str">
        <f t="shared" si="88"/>
        <v/>
      </c>
      <c r="AH225" s="115" t="str">
        <f t="shared" si="89"/>
        <v/>
      </c>
      <c r="AI225" s="115" t="str">
        <f t="shared" si="90"/>
        <v/>
      </c>
      <c r="AJ225" s="115" t="str">
        <f t="shared" si="91"/>
        <v/>
      </c>
      <c r="AK225" s="115" t="str">
        <f t="shared" si="92"/>
        <v/>
      </c>
      <c r="AL225" s="115" t="str">
        <f t="shared" si="93"/>
        <v/>
      </c>
      <c r="AM225" s="115" t="str">
        <f t="shared" si="94"/>
        <v/>
      </c>
      <c r="AN225" s="115" t="str">
        <f t="shared" si="95"/>
        <v/>
      </c>
      <c r="AO225" s="3"/>
      <c r="AP225" s="3"/>
      <c r="AQ225" s="3"/>
      <c r="AR225" s="3"/>
      <c r="AS225" s="3"/>
      <c r="AT225" s="3"/>
      <c r="AU225" s="3"/>
      <c r="AZ225" s="1"/>
      <c r="BA225" s="1"/>
      <c r="BB225" s="1"/>
      <c r="BC225" s="1"/>
      <c r="BD225" s="1"/>
      <c r="BE225" s="1"/>
      <c r="BF225" s="1"/>
    </row>
    <row r="226" spans="1:58">
      <c r="A226" s="109">
        <v>102</v>
      </c>
      <c r="B226" s="114" t="str">
        <f>VLOOKUP(A226,P_DIS!$B$32:$Q$263,12)</f>
        <v>-</v>
      </c>
      <c r="C226" s="114" t="str">
        <f>VLOOKUP(A226,P_DIS!$B$32:$Q$263,13)</f>
        <v>-</v>
      </c>
      <c r="D226" s="114" t="str">
        <f>VLOOKUP(A226,P_DIS!$B$32:$Q$263,15)</f>
        <v>-</v>
      </c>
      <c r="E226" s="114" t="str">
        <f>VLOOKUP(A226,P_DIS!$B$32:$Q$263,14)</f>
        <v>-</v>
      </c>
      <c r="F226" s="114">
        <f>VLOOKUP(A226,P_DIS!$B$32:$Q$263,10)</f>
        <v>0</v>
      </c>
      <c r="G226" s="114" t="str">
        <f>VLOOKUP(A226,P_DIS!$B$32:$Q$263,11)</f>
        <v>-</v>
      </c>
      <c r="H226" s="114" t="str">
        <f>VLOOKUP(A226,P_DIS!$B$32:$Q$263,16)</f>
        <v>-</v>
      </c>
      <c r="I226" s="115" t="str">
        <f t="shared" si="73"/>
        <v/>
      </c>
      <c r="J226" s="116" t="str">
        <f t="shared" si="74"/>
        <v/>
      </c>
      <c r="K226" s="117" t="str">
        <f t="shared" si="75"/>
        <v/>
      </c>
      <c r="L226" s="118" t="str">
        <f t="shared" si="76"/>
        <v/>
      </c>
      <c r="M226" s="118" t="str">
        <f t="shared" si="77"/>
        <v/>
      </c>
      <c r="N226" s="118" t="str">
        <f t="shared" si="78"/>
        <v/>
      </c>
      <c r="O226" s="118" t="str">
        <f t="shared" si="79"/>
        <v/>
      </c>
      <c r="P226" s="118" t="str">
        <f t="shared" si="80"/>
        <v/>
      </c>
      <c r="Q226" s="118" t="str">
        <f t="shared" si="81"/>
        <v/>
      </c>
      <c r="R226" s="118" t="str">
        <f t="shared" si="82"/>
        <v/>
      </c>
      <c r="S226" s="118" t="str">
        <f t="shared" si="83"/>
        <v/>
      </c>
      <c r="T226" s="119" t="str">
        <f t="shared" si="66"/>
        <v/>
      </c>
      <c r="U226" s="119" t="str">
        <f t="shared" si="67"/>
        <v/>
      </c>
      <c r="V226" s="120" t="str">
        <f t="shared" si="68"/>
        <v/>
      </c>
      <c r="W226" s="120" t="str">
        <f t="shared" si="69"/>
        <v/>
      </c>
      <c r="X226" s="120" t="str">
        <f t="shared" si="96"/>
        <v/>
      </c>
      <c r="Y226" s="121" t="str">
        <f t="shared" si="97"/>
        <v/>
      </c>
      <c r="Z226" s="121" t="str">
        <f t="shared" si="98"/>
        <v/>
      </c>
      <c r="AA226" s="122">
        <v>1</v>
      </c>
      <c r="AB226" s="123">
        <v>1</v>
      </c>
      <c r="AC226" s="123" t="str">
        <f t="shared" si="84"/>
        <v/>
      </c>
      <c r="AD226" s="123" t="str">
        <f t="shared" si="85"/>
        <v/>
      </c>
      <c r="AE226" s="123" t="str">
        <f t="shared" si="86"/>
        <v/>
      </c>
      <c r="AF226" s="123" t="str">
        <f t="shared" si="87"/>
        <v/>
      </c>
      <c r="AG226" s="123" t="str">
        <f t="shared" si="88"/>
        <v/>
      </c>
      <c r="AH226" s="115" t="str">
        <f t="shared" si="89"/>
        <v/>
      </c>
      <c r="AI226" s="115" t="str">
        <f t="shared" si="90"/>
        <v/>
      </c>
      <c r="AJ226" s="115" t="str">
        <f t="shared" si="91"/>
        <v/>
      </c>
      <c r="AK226" s="115" t="str">
        <f t="shared" si="92"/>
        <v/>
      </c>
      <c r="AL226" s="115" t="str">
        <f t="shared" si="93"/>
        <v/>
      </c>
      <c r="AM226" s="115" t="str">
        <f t="shared" si="94"/>
        <v/>
      </c>
      <c r="AN226" s="115" t="str">
        <f t="shared" si="95"/>
        <v/>
      </c>
      <c r="AO226" s="3"/>
      <c r="AP226" s="3"/>
      <c r="AQ226" s="3"/>
      <c r="AR226" s="3"/>
      <c r="AS226" s="3"/>
      <c r="AT226" s="3"/>
      <c r="AU226" s="3"/>
      <c r="AZ226" s="1"/>
      <c r="BA226" s="1"/>
      <c r="BB226" s="1"/>
      <c r="BC226" s="1"/>
      <c r="BD226" s="1"/>
      <c r="BE226" s="1"/>
      <c r="BF226" s="1"/>
    </row>
    <row r="227" spans="1:58">
      <c r="A227" s="109">
        <v>103</v>
      </c>
      <c r="B227" s="114" t="str">
        <f>VLOOKUP(A227,P_DIS!$B$32:$Q$263,12)</f>
        <v>-</v>
      </c>
      <c r="C227" s="114" t="str">
        <f>VLOOKUP(A227,P_DIS!$B$32:$Q$263,13)</f>
        <v>-</v>
      </c>
      <c r="D227" s="114" t="str">
        <f>VLOOKUP(A227,P_DIS!$B$32:$Q$263,15)</f>
        <v>-</v>
      </c>
      <c r="E227" s="114" t="str">
        <f>VLOOKUP(A227,P_DIS!$B$32:$Q$263,14)</f>
        <v>-</v>
      </c>
      <c r="F227" s="114">
        <f>VLOOKUP(A227,P_DIS!$B$32:$Q$263,10)</f>
        <v>0</v>
      </c>
      <c r="G227" s="114" t="str">
        <f>VLOOKUP(A227,P_DIS!$B$32:$Q$263,11)</f>
        <v>-</v>
      </c>
      <c r="H227" s="114" t="str">
        <f>VLOOKUP(A227,P_DIS!$B$32:$Q$263,16)</f>
        <v>-</v>
      </c>
      <c r="I227" s="115" t="str">
        <f t="shared" si="73"/>
        <v/>
      </c>
      <c r="J227" s="116" t="str">
        <f t="shared" si="74"/>
        <v/>
      </c>
      <c r="K227" s="117" t="str">
        <f t="shared" si="75"/>
        <v/>
      </c>
      <c r="L227" s="118" t="str">
        <f t="shared" si="76"/>
        <v/>
      </c>
      <c r="M227" s="118" t="str">
        <f t="shared" si="77"/>
        <v/>
      </c>
      <c r="N227" s="118" t="str">
        <f t="shared" si="78"/>
        <v/>
      </c>
      <c r="O227" s="118" t="str">
        <f t="shared" si="79"/>
        <v/>
      </c>
      <c r="P227" s="118" t="str">
        <f t="shared" si="80"/>
        <v/>
      </c>
      <c r="Q227" s="118" t="str">
        <f t="shared" si="81"/>
        <v/>
      </c>
      <c r="R227" s="118" t="str">
        <f t="shared" si="82"/>
        <v/>
      </c>
      <c r="S227" s="118" t="str">
        <f t="shared" si="83"/>
        <v/>
      </c>
      <c r="T227" s="119" t="str">
        <f t="shared" si="66"/>
        <v/>
      </c>
      <c r="U227" s="119" t="str">
        <f t="shared" si="67"/>
        <v/>
      </c>
      <c r="V227" s="120" t="str">
        <f t="shared" si="68"/>
        <v/>
      </c>
      <c r="W227" s="120" t="str">
        <f t="shared" si="69"/>
        <v/>
      </c>
      <c r="X227" s="120" t="str">
        <f t="shared" si="96"/>
        <v/>
      </c>
      <c r="Y227" s="121" t="str">
        <f t="shared" si="97"/>
        <v/>
      </c>
      <c r="Z227" s="121" t="str">
        <f t="shared" si="98"/>
        <v/>
      </c>
      <c r="AA227" s="122">
        <v>1</v>
      </c>
      <c r="AB227" s="123">
        <v>1</v>
      </c>
      <c r="AC227" s="123" t="str">
        <f t="shared" si="84"/>
        <v/>
      </c>
      <c r="AD227" s="123" t="str">
        <f t="shared" si="85"/>
        <v/>
      </c>
      <c r="AE227" s="123" t="str">
        <f t="shared" si="86"/>
        <v/>
      </c>
      <c r="AF227" s="123" t="str">
        <f t="shared" si="87"/>
        <v/>
      </c>
      <c r="AG227" s="123" t="str">
        <f t="shared" si="88"/>
        <v/>
      </c>
      <c r="AH227" s="115" t="str">
        <f t="shared" si="89"/>
        <v/>
      </c>
      <c r="AI227" s="115" t="str">
        <f t="shared" si="90"/>
        <v/>
      </c>
      <c r="AJ227" s="115" t="str">
        <f t="shared" si="91"/>
        <v/>
      </c>
      <c r="AK227" s="115" t="str">
        <f t="shared" si="92"/>
        <v/>
      </c>
      <c r="AL227" s="115" t="str">
        <f t="shared" si="93"/>
        <v/>
      </c>
      <c r="AM227" s="115" t="str">
        <f t="shared" si="94"/>
        <v/>
      </c>
      <c r="AN227" s="115" t="str">
        <f t="shared" si="95"/>
        <v/>
      </c>
      <c r="AO227" s="3"/>
      <c r="AP227" s="3"/>
      <c r="AQ227" s="3"/>
      <c r="AR227" s="3"/>
      <c r="AS227" s="3"/>
      <c r="AT227" s="3"/>
      <c r="AU227" s="3"/>
      <c r="AZ227" s="1"/>
      <c r="BA227" s="1"/>
      <c r="BB227" s="1"/>
      <c r="BC227" s="1"/>
      <c r="BD227" s="1"/>
      <c r="BE227" s="1"/>
      <c r="BF227" s="1"/>
    </row>
    <row r="228" spans="1:58">
      <c r="A228" s="109">
        <v>104</v>
      </c>
      <c r="B228" s="114" t="str">
        <f>VLOOKUP(A228,P_DIS!$B$32:$Q$263,12)</f>
        <v>-</v>
      </c>
      <c r="C228" s="114" t="str">
        <f>VLOOKUP(A228,P_DIS!$B$32:$Q$263,13)</f>
        <v>-</v>
      </c>
      <c r="D228" s="114" t="str">
        <f>VLOOKUP(A228,P_DIS!$B$32:$Q$263,15)</f>
        <v>-</v>
      </c>
      <c r="E228" s="114" t="str">
        <f>VLOOKUP(A228,P_DIS!$B$32:$Q$263,14)</f>
        <v>-</v>
      </c>
      <c r="F228" s="114">
        <f>VLOOKUP(A228,P_DIS!$B$32:$Q$263,10)</f>
        <v>0</v>
      </c>
      <c r="G228" s="114" t="str">
        <f>VLOOKUP(A228,P_DIS!$B$32:$Q$263,11)</f>
        <v>-</v>
      </c>
      <c r="H228" s="114" t="str">
        <f>VLOOKUP(A228,P_DIS!$B$32:$Q$263,16)</f>
        <v>-</v>
      </c>
      <c r="I228" s="115" t="str">
        <f t="shared" si="73"/>
        <v/>
      </c>
      <c r="J228" s="116" t="str">
        <f t="shared" si="74"/>
        <v/>
      </c>
      <c r="K228" s="117" t="str">
        <f t="shared" si="75"/>
        <v/>
      </c>
      <c r="L228" s="118" t="str">
        <f t="shared" si="76"/>
        <v/>
      </c>
      <c r="M228" s="118" t="str">
        <f t="shared" si="77"/>
        <v/>
      </c>
      <c r="N228" s="118" t="str">
        <f t="shared" si="78"/>
        <v/>
      </c>
      <c r="O228" s="118" t="str">
        <f t="shared" si="79"/>
        <v/>
      </c>
      <c r="P228" s="118" t="str">
        <f t="shared" si="80"/>
        <v/>
      </c>
      <c r="Q228" s="118" t="str">
        <f t="shared" si="81"/>
        <v/>
      </c>
      <c r="R228" s="118" t="str">
        <f t="shared" si="82"/>
        <v/>
      </c>
      <c r="S228" s="118" t="str">
        <f t="shared" si="83"/>
        <v/>
      </c>
      <c r="T228" s="119" t="str">
        <f t="shared" si="66"/>
        <v/>
      </c>
      <c r="U228" s="119" t="str">
        <f t="shared" si="67"/>
        <v/>
      </c>
      <c r="V228" s="120" t="str">
        <f t="shared" si="68"/>
        <v/>
      </c>
      <c r="W228" s="120" t="str">
        <f t="shared" si="69"/>
        <v/>
      </c>
      <c r="X228" s="120" t="str">
        <f t="shared" si="96"/>
        <v/>
      </c>
      <c r="Y228" s="121" t="str">
        <f t="shared" si="97"/>
        <v/>
      </c>
      <c r="Z228" s="121" t="str">
        <f t="shared" si="98"/>
        <v/>
      </c>
      <c r="AA228" s="122">
        <v>1</v>
      </c>
      <c r="AB228" s="123">
        <v>1</v>
      </c>
      <c r="AC228" s="123" t="str">
        <f t="shared" si="84"/>
        <v/>
      </c>
      <c r="AD228" s="123" t="str">
        <f t="shared" si="85"/>
        <v/>
      </c>
      <c r="AE228" s="123" t="str">
        <f t="shared" si="86"/>
        <v/>
      </c>
      <c r="AF228" s="123" t="str">
        <f t="shared" si="87"/>
        <v/>
      </c>
      <c r="AG228" s="123" t="str">
        <f t="shared" si="88"/>
        <v/>
      </c>
      <c r="AH228" s="115" t="str">
        <f t="shared" si="89"/>
        <v/>
      </c>
      <c r="AI228" s="115" t="str">
        <f t="shared" si="90"/>
        <v/>
      </c>
      <c r="AJ228" s="115" t="str">
        <f t="shared" si="91"/>
        <v/>
      </c>
      <c r="AK228" s="115" t="str">
        <f t="shared" si="92"/>
        <v/>
      </c>
      <c r="AL228" s="115" t="str">
        <f t="shared" si="93"/>
        <v/>
      </c>
      <c r="AM228" s="115" t="str">
        <f t="shared" si="94"/>
        <v/>
      </c>
      <c r="AN228" s="115" t="str">
        <f t="shared" si="95"/>
        <v/>
      </c>
      <c r="AO228" s="3"/>
      <c r="AP228" s="3"/>
      <c r="AQ228" s="3"/>
      <c r="AR228" s="3"/>
      <c r="AS228" s="3"/>
      <c r="AT228" s="3"/>
      <c r="AU228" s="3"/>
      <c r="AZ228" s="1"/>
      <c r="BA228" s="1"/>
      <c r="BB228" s="1"/>
      <c r="BC228" s="1"/>
      <c r="BD228" s="1"/>
      <c r="BE228" s="1"/>
      <c r="BF228" s="1"/>
    </row>
    <row r="229" spans="1:58">
      <c r="A229" s="109">
        <v>105</v>
      </c>
      <c r="B229" s="114" t="str">
        <f>VLOOKUP(A229,P_DIS!$B$32:$Q$263,12)</f>
        <v>-</v>
      </c>
      <c r="C229" s="114" t="str">
        <f>VLOOKUP(A229,P_DIS!$B$32:$Q$263,13)</f>
        <v>-</v>
      </c>
      <c r="D229" s="114" t="str">
        <f>VLOOKUP(A229,P_DIS!$B$32:$Q$263,15)</f>
        <v>-</v>
      </c>
      <c r="E229" s="114" t="str">
        <f>VLOOKUP(A229,P_DIS!$B$32:$Q$263,14)</f>
        <v>-</v>
      </c>
      <c r="F229" s="114">
        <f>VLOOKUP(A229,P_DIS!$B$32:$Q$263,10)</f>
        <v>0</v>
      </c>
      <c r="G229" s="114" t="str">
        <f>VLOOKUP(A229,P_DIS!$B$32:$Q$263,11)</f>
        <v>-</v>
      </c>
      <c r="H229" s="114" t="str">
        <f>VLOOKUP(A229,P_DIS!$B$32:$Q$263,16)</f>
        <v>-</v>
      </c>
      <c r="I229" s="115" t="str">
        <f t="shared" si="73"/>
        <v/>
      </c>
      <c r="J229" s="116" t="str">
        <f t="shared" si="74"/>
        <v/>
      </c>
      <c r="K229" s="117" t="str">
        <f t="shared" si="75"/>
        <v/>
      </c>
      <c r="L229" s="118" t="str">
        <f t="shared" si="76"/>
        <v/>
      </c>
      <c r="M229" s="118" t="str">
        <f t="shared" si="77"/>
        <v/>
      </c>
      <c r="N229" s="118" t="str">
        <f t="shared" si="78"/>
        <v/>
      </c>
      <c r="O229" s="118" t="str">
        <f t="shared" si="79"/>
        <v/>
      </c>
      <c r="P229" s="118" t="str">
        <f t="shared" si="80"/>
        <v/>
      </c>
      <c r="Q229" s="118" t="str">
        <f t="shared" si="81"/>
        <v/>
      </c>
      <c r="R229" s="118" t="str">
        <f t="shared" si="82"/>
        <v/>
      </c>
      <c r="S229" s="118" t="str">
        <f t="shared" si="83"/>
        <v/>
      </c>
      <c r="T229" s="119" t="str">
        <f t="shared" si="66"/>
        <v/>
      </c>
      <c r="U229" s="119" t="str">
        <f t="shared" si="67"/>
        <v/>
      </c>
      <c r="V229" s="120" t="str">
        <f t="shared" si="68"/>
        <v/>
      </c>
      <c r="W229" s="120" t="str">
        <f t="shared" si="69"/>
        <v/>
      </c>
      <c r="X229" s="120" t="str">
        <f t="shared" si="96"/>
        <v/>
      </c>
      <c r="Y229" s="121" t="str">
        <f t="shared" si="97"/>
        <v/>
      </c>
      <c r="Z229" s="121" t="str">
        <f t="shared" si="98"/>
        <v/>
      </c>
      <c r="AA229" s="122">
        <v>1</v>
      </c>
      <c r="AB229" s="123">
        <v>1</v>
      </c>
      <c r="AC229" s="123" t="str">
        <f t="shared" si="84"/>
        <v/>
      </c>
      <c r="AD229" s="123" t="str">
        <f t="shared" si="85"/>
        <v/>
      </c>
      <c r="AE229" s="123" t="str">
        <f t="shared" si="86"/>
        <v/>
      </c>
      <c r="AF229" s="123" t="str">
        <f t="shared" si="87"/>
        <v/>
      </c>
      <c r="AG229" s="123" t="str">
        <f t="shared" si="88"/>
        <v/>
      </c>
      <c r="AH229" s="115" t="str">
        <f t="shared" si="89"/>
        <v/>
      </c>
      <c r="AI229" s="115" t="str">
        <f t="shared" si="90"/>
        <v/>
      </c>
      <c r="AJ229" s="115" t="str">
        <f t="shared" si="91"/>
        <v/>
      </c>
      <c r="AK229" s="115" t="str">
        <f t="shared" si="92"/>
        <v/>
      </c>
      <c r="AL229" s="115" t="str">
        <f t="shared" si="93"/>
        <v/>
      </c>
      <c r="AM229" s="115" t="str">
        <f t="shared" si="94"/>
        <v/>
      </c>
      <c r="AN229" s="115" t="str">
        <f t="shared" si="95"/>
        <v/>
      </c>
      <c r="AO229" s="3"/>
      <c r="AP229" s="3"/>
      <c r="AQ229" s="3"/>
      <c r="AR229" s="3"/>
      <c r="AS229" s="3"/>
      <c r="AT229" s="3"/>
      <c r="AU229" s="3"/>
      <c r="AZ229" s="1"/>
      <c r="BA229" s="1"/>
      <c r="BB229" s="1"/>
      <c r="BC229" s="1"/>
      <c r="BD229" s="1"/>
      <c r="BE229" s="1"/>
      <c r="BF229" s="1"/>
    </row>
    <row r="230" spans="1:58">
      <c r="A230" s="109">
        <v>106</v>
      </c>
      <c r="B230" s="114" t="str">
        <f>VLOOKUP(A230,P_DIS!$B$32:$Q$263,12)</f>
        <v>-</v>
      </c>
      <c r="C230" s="114" t="str">
        <f>VLOOKUP(A230,P_DIS!$B$32:$Q$263,13)</f>
        <v>-</v>
      </c>
      <c r="D230" s="114" t="str">
        <f>VLOOKUP(A230,P_DIS!$B$32:$Q$263,15)</f>
        <v>-</v>
      </c>
      <c r="E230" s="114" t="str">
        <f>VLOOKUP(A230,P_DIS!$B$32:$Q$263,14)</f>
        <v>-</v>
      </c>
      <c r="F230" s="114">
        <f>VLOOKUP(A230,P_DIS!$B$32:$Q$263,10)</f>
        <v>0</v>
      </c>
      <c r="G230" s="114" t="str">
        <f>VLOOKUP(A230,P_DIS!$B$32:$Q$263,11)</f>
        <v>-</v>
      </c>
      <c r="H230" s="114" t="str">
        <f>VLOOKUP(A230,P_DIS!$B$32:$Q$263,16)</f>
        <v>-</v>
      </c>
      <c r="I230" s="115" t="str">
        <f t="shared" si="73"/>
        <v/>
      </c>
      <c r="J230" s="116" t="str">
        <f t="shared" si="74"/>
        <v/>
      </c>
      <c r="K230" s="117" t="str">
        <f t="shared" si="75"/>
        <v/>
      </c>
      <c r="L230" s="118" t="str">
        <f t="shared" si="76"/>
        <v/>
      </c>
      <c r="M230" s="118" t="str">
        <f t="shared" si="77"/>
        <v/>
      </c>
      <c r="N230" s="118" t="str">
        <f t="shared" si="78"/>
        <v/>
      </c>
      <c r="O230" s="118" t="str">
        <f t="shared" si="79"/>
        <v/>
      </c>
      <c r="P230" s="118" t="str">
        <f t="shared" si="80"/>
        <v/>
      </c>
      <c r="Q230" s="118" t="str">
        <f t="shared" si="81"/>
        <v/>
      </c>
      <c r="R230" s="118" t="str">
        <f t="shared" si="82"/>
        <v/>
      </c>
      <c r="S230" s="118" t="str">
        <f t="shared" si="83"/>
        <v/>
      </c>
      <c r="T230" s="119" t="str">
        <f t="shared" si="66"/>
        <v/>
      </c>
      <c r="U230" s="119" t="str">
        <f t="shared" si="67"/>
        <v/>
      </c>
      <c r="V230" s="120" t="str">
        <f t="shared" si="68"/>
        <v/>
      </c>
      <c r="W230" s="120" t="str">
        <f t="shared" si="69"/>
        <v/>
      </c>
      <c r="X230" s="120" t="str">
        <f t="shared" si="96"/>
        <v/>
      </c>
      <c r="Y230" s="121" t="str">
        <f t="shared" si="97"/>
        <v/>
      </c>
      <c r="Z230" s="121" t="str">
        <f t="shared" si="98"/>
        <v/>
      </c>
      <c r="AA230" s="122">
        <v>1</v>
      </c>
      <c r="AB230" s="123">
        <v>1</v>
      </c>
      <c r="AC230" s="123" t="str">
        <f t="shared" si="84"/>
        <v/>
      </c>
      <c r="AD230" s="123" t="str">
        <f t="shared" si="85"/>
        <v/>
      </c>
      <c r="AE230" s="123" t="str">
        <f t="shared" si="86"/>
        <v/>
      </c>
      <c r="AF230" s="123" t="str">
        <f t="shared" si="87"/>
        <v/>
      </c>
      <c r="AG230" s="123" t="str">
        <f t="shared" si="88"/>
        <v/>
      </c>
      <c r="AH230" s="115" t="str">
        <f t="shared" si="89"/>
        <v/>
      </c>
      <c r="AI230" s="115" t="str">
        <f t="shared" si="90"/>
        <v/>
      </c>
      <c r="AJ230" s="115" t="str">
        <f t="shared" si="91"/>
        <v/>
      </c>
      <c r="AK230" s="115" t="str">
        <f t="shared" si="92"/>
        <v/>
      </c>
      <c r="AL230" s="115" t="str">
        <f t="shared" si="93"/>
        <v/>
      </c>
      <c r="AM230" s="115" t="str">
        <f t="shared" si="94"/>
        <v/>
      </c>
      <c r="AN230" s="115" t="str">
        <f t="shared" si="95"/>
        <v/>
      </c>
      <c r="AO230" s="3"/>
      <c r="AP230" s="3"/>
      <c r="AQ230" s="3"/>
      <c r="AR230" s="3"/>
      <c r="AS230" s="3"/>
      <c r="AT230" s="3"/>
      <c r="AU230" s="3"/>
      <c r="AZ230" s="1"/>
      <c r="BA230" s="1"/>
      <c r="BB230" s="1"/>
      <c r="BC230" s="1"/>
      <c r="BD230" s="1"/>
      <c r="BE230" s="1"/>
      <c r="BF230" s="1"/>
    </row>
    <row r="231" spans="1:58">
      <c r="A231" s="109">
        <v>107</v>
      </c>
      <c r="B231" s="114" t="str">
        <f>VLOOKUP(A231,P_DIS!$B$32:$Q$263,12)</f>
        <v>-</v>
      </c>
      <c r="C231" s="114" t="str">
        <f>VLOOKUP(A231,P_DIS!$B$32:$Q$263,13)</f>
        <v>-</v>
      </c>
      <c r="D231" s="114" t="str">
        <f>VLOOKUP(A231,P_DIS!$B$32:$Q$263,15)</f>
        <v>-</v>
      </c>
      <c r="E231" s="114" t="str">
        <f>VLOOKUP(A231,P_DIS!$B$32:$Q$263,14)</f>
        <v>-</v>
      </c>
      <c r="F231" s="114">
        <f>VLOOKUP(A231,P_DIS!$B$32:$Q$263,10)</f>
        <v>0</v>
      </c>
      <c r="G231" s="114" t="str">
        <f>VLOOKUP(A231,P_DIS!$B$32:$Q$263,11)</f>
        <v>-</v>
      </c>
      <c r="H231" s="114" t="str">
        <f>VLOOKUP(A231,P_DIS!$B$32:$Q$263,16)</f>
        <v>-</v>
      </c>
      <c r="I231" s="115" t="str">
        <f t="shared" si="73"/>
        <v/>
      </c>
      <c r="J231" s="116" t="str">
        <f t="shared" si="74"/>
        <v/>
      </c>
      <c r="K231" s="117" t="str">
        <f t="shared" si="75"/>
        <v/>
      </c>
      <c r="L231" s="118" t="str">
        <f t="shared" si="76"/>
        <v/>
      </c>
      <c r="M231" s="118" t="str">
        <f t="shared" si="77"/>
        <v/>
      </c>
      <c r="N231" s="118" t="str">
        <f t="shared" si="78"/>
        <v/>
      </c>
      <c r="O231" s="118" t="str">
        <f t="shared" si="79"/>
        <v/>
      </c>
      <c r="P231" s="118" t="str">
        <f t="shared" si="80"/>
        <v/>
      </c>
      <c r="Q231" s="118" t="str">
        <f t="shared" si="81"/>
        <v/>
      </c>
      <c r="R231" s="118" t="str">
        <f t="shared" si="82"/>
        <v/>
      </c>
      <c r="S231" s="118" t="str">
        <f t="shared" si="83"/>
        <v/>
      </c>
      <c r="T231" s="119" t="str">
        <f t="shared" si="66"/>
        <v/>
      </c>
      <c r="U231" s="119" t="str">
        <f t="shared" si="67"/>
        <v/>
      </c>
      <c r="V231" s="120" t="str">
        <f t="shared" si="68"/>
        <v/>
      </c>
      <c r="W231" s="120" t="str">
        <f t="shared" si="69"/>
        <v/>
      </c>
      <c r="X231" s="120" t="str">
        <f t="shared" si="96"/>
        <v/>
      </c>
      <c r="Y231" s="121" t="str">
        <f t="shared" si="97"/>
        <v/>
      </c>
      <c r="Z231" s="121" t="str">
        <f t="shared" si="98"/>
        <v/>
      </c>
      <c r="AA231" s="122">
        <v>1</v>
      </c>
      <c r="AB231" s="123">
        <v>1</v>
      </c>
      <c r="AC231" s="123" t="str">
        <f t="shared" si="84"/>
        <v/>
      </c>
      <c r="AD231" s="123" t="str">
        <f t="shared" si="85"/>
        <v/>
      </c>
      <c r="AE231" s="123" t="str">
        <f t="shared" si="86"/>
        <v/>
      </c>
      <c r="AF231" s="123" t="str">
        <f t="shared" si="87"/>
        <v/>
      </c>
      <c r="AG231" s="123" t="str">
        <f t="shared" si="88"/>
        <v/>
      </c>
      <c r="AH231" s="115" t="str">
        <f t="shared" si="89"/>
        <v/>
      </c>
      <c r="AI231" s="115" t="str">
        <f t="shared" si="90"/>
        <v/>
      </c>
      <c r="AJ231" s="115" t="str">
        <f t="shared" si="91"/>
        <v/>
      </c>
      <c r="AK231" s="115" t="str">
        <f t="shared" si="92"/>
        <v/>
      </c>
      <c r="AL231" s="115" t="str">
        <f t="shared" si="93"/>
        <v/>
      </c>
      <c r="AM231" s="115" t="str">
        <f t="shared" si="94"/>
        <v/>
      </c>
      <c r="AN231" s="115" t="str">
        <f t="shared" si="95"/>
        <v/>
      </c>
      <c r="AO231" s="3"/>
      <c r="AP231" s="3"/>
      <c r="AQ231" s="3"/>
      <c r="AR231" s="3"/>
      <c r="AS231" s="3"/>
      <c r="AT231" s="3"/>
      <c r="AU231" s="3"/>
      <c r="AZ231" s="1"/>
      <c r="BA231" s="1"/>
      <c r="BB231" s="1"/>
      <c r="BC231" s="1"/>
      <c r="BD231" s="1"/>
      <c r="BE231" s="1"/>
      <c r="BF231" s="1"/>
    </row>
    <row r="232" spans="1:58">
      <c r="A232" s="109">
        <v>108</v>
      </c>
      <c r="B232" s="114" t="str">
        <f>VLOOKUP(A232,P_DIS!$B$32:$Q$263,12)</f>
        <v>-</v>
      </c>
      <c r="C232" s="114" t="str">
        <f>VLOOKUP(A232,P_DIS!$B$32:$Q$263,13)</f>
        <v>-</v>
      </c>
      <c r="D232" s="114" t="str">
        <f>VLOOKUP(A232,P_DIS!$B$32:$Q$263,15)</f>
        <v>-</v>
      </c>
      <c r="E232" s="114" t="str">
        <f>VLOOKUP(A232,P_DIS!$B$32:$Q$263,14)</f>
        <v>-</v>
      </c>
      <c r="F232" s="114">
        <f>VLOOKUP(A232,P_DIS!$B$32:$Q$263,10)</f>
        <v>0</v>
      </c>
      <c r="G232" s="114" t="str">
        <f>VLOOKUP(A232,P_DIS!$B$32:$Q$263,11)</f>
        <v>-</v>
      </c>
      <c r="H232" s="114" t="str">
        <f>VLOOKUP(A232,P_DIS!$B$32:$Q$263,16)</f>
        <v>-</v>
      </c>
      <c r="I232" s="115" t="str">
        <f t="shared" si="73"/>
        <v/>
      </c>
      <c r="J232" s="116" t="str">
        <f t="shared" si="74"/>
        <v/>
      </c>
      <c r="K232" s="117" t="str">
        <f t="shared" si="75"/>
        <v/>
      </c>
      <c r="L232" s="118" t="str">
        <f t="shared" si="76"/>
        <v/>
      </c>
      <c r="M232" s="118" t="str">
        <f t="shared" si="77"/>
        <v/>
      </c>
      <c r="N232" s="118" t="str">
        <f t="shared" si="78"/>
        <v/>
      </c>
      <c r="O232" s="118" t="str">
        <f t="shared" si="79"/>
        <v/>
      </c>
      <c r="P232" s="118" t="str">
        <f t="shared" si="80"/>
        <v/>
      </c>
      <c r="Q232" s="118" t="str">
        <f t="shared" si="81"/>
        <v/>
      </c>
      <c r="R232" s="118" t="str">
        <f t="shared" si="82"/>
        <v/>
      </c>
      <c r="S232" s="118" t="str">
        <f t="shared" si="83"/>
        <v/>
      </c>
      <c r="T232" s="119" t="str">
        <f t="shared" si="66"/>
        <v/>
      </c>
      <c r="U232" s="119" t="str">
        <f t="shared" si="67"/>
        <v/>
      </c>
      <c r="V232" s="120" t="str">
        <f t="shared" si="68"/>
        <v/>
      </c>
      <c r="W232" s="120" t="str">
        <f t="shared" si="69"/>
        <v/>
      </c>
      <c r="X232" s="120" t="str">
        <f t="shared" si="96"/>
        <v/>
      </c>
      <c r="Y232" s="121" t="str">
        <f t="shared" si="97"/>
        <v/>
      </c>
      <c r="Z232" s="121" t="str">
        <f t="shared" si="98"/>
        <v/>
      </c>
      <c r="AA232" s="122">
        <v>1</v>
      </c>
      <c r="AB232" s="123">
        <v>1</v>
      </c>
      <c r="AC232" s="123" t="str">
        <f t="shared" si="84"/>
        <v/>
      </c>
      <c r="AD232" s="123" t="str">
        <f t="shared" si="85"/>
        <v/>
      </c>
      <c r="AE232" s="123" t="str">
        <f t="shared" si="86"/>
        <v/>
      </c>
      <c r="AF232" s="123" t="str">
        <f t="shared" si="87"/>
        <v/>
      </c>
      <c r="AG232" s="123" t="str">
        <f t="shared" si="88"/>
        <v/>
      </c>
      <c r="AH232" s="115" t="str">
        <f t="shared" si="89"/>
        <v/>
      </c>
      <c r="AI232" s="115" t="str">
        <f t="shared" si="90"/>
        <v/>
      </c>
      <c r="AJ232" s="115" t="str">
        <f t="shared" si="91"/>
        <v/>
      </c>
      <c r="AK232" s="115" t="str">
        <f t="shared" si="92"/>
        <v/>
      </c>
      <c r="AL232" s="115" t="str">
        <f t="shared" si="93"/>
        <v/>
      </c>
      <c r="AM232" s="115" t="str">
        <f t="shared" si="94"/>
        <v/>
      </c>
      <c r="AN232" s="115" t="str">
        <f t="shared" si="95"/>
        <v/>
      </c>
      <c r="AO232" s="3"/>
      <c r="AP232" s="3"/>
      <c r="AQ232" s="3"/>
      <c r="AR232" s="3"/>
      <c r="AS232" s="3"/>
      <c r="AT232" s="3"/>
      <c r="AU232" s="3"/>
      <c r="AZ232" s="1"/>
      <c r="BA232" s="1"/>
      <c r="BB232" s="1"/>
      <c r="BC232" s="1"/>
      <c r="BD232" s="1"/>
      <c r="BE232" s="1"/>
      <c r="BF232" s="1"/>
    </row>
    <row r="233" spans="1:58">
      <c r="A233" s="109">
        <v>109</v>
      </c>
      <c r="B233" s="114" t="str">
        <f>VLOOKUP(A233,P_DIS!$B$32:$Q$263,12)</f>
        <v>-</v>
      </c>
      <c r="C233" s="114" t="str">
        <f>VLOOKUP(A233,P_DIS!$B$32:$Q$263,13)</f>
        <v>-</v>
      </c>
      <c r="D233" s="114" t="str">
        <f>VLOOKUP(A233,P_DIS!$B$32:$Q$263,15)</f>
        <v>-</v>
      </c>
      <c r="E233" s="114" t="str">
        <f>VLOOKUP(A233,P_DIS!$B$32:$Q$263,14)</f>
        <v>-</v>
      </c>
      <c r="F233" s="114">
        <f>VLOOKUP(A233,P_DIS!$B$32:$Q$263,10)</f>
        <v>0</v>
      </c>
      <c r="G233" s="114" t="str">
        <f>VLOOKUP(A233,P_DIS!$B$32:$Q$263,11)</f>
        <v>-</v>
      </c>
      <c r="H233" s="114" t="str">
        <f>VLOOKUP(A233,P_DIS!$B$32:$Q$263,16)</f>
        <v>-</v>
      </c>
      <c r="I233" s="115" t="str">
        <f t="shared" si="73"/>
        <v/>
      </c>
      <c r="J233" s="116" t="str">
        <f t="shared" si="74"/>
        <v/>
      </c>
      <c r="K233" s="117" t="str">
        <f t="shared" si="75"/>
        <v/>
      </c>
      <c r="L233" s="118" t="str">
        <f t="shared" si="76"/>
        <v/>
      </c>
      <c r="M233" s="118" t="str">
        <f t="shared" si="77"/>
        <v/>
      </c>
      <c r="N233" s="118" t="str">
        <f t="shared" si="78"/>
        <v/>
      </c>
      <c r="O233" s="118" t="str">
        <f t="shared" si="79"/>
        <v/>
      </c>
      <c r="P233" s="118" t="str">
        <f t="shared" si="80"/>
        <v/>
      </c>
      <c r="Q233" s="118" t="str">
        <f t="shared" si="81"/>
        <v/>
      </c>
      <c r="R233" s="118" t="str">
        <f t="shared" si="82"/>
        <v/>
      </c>
      <c r="S233" s="118" t="str">
        <f t="shared" si="83"/>
        <v/>
      </c>
      <c r="T233" s="119" t="str">
        <f t="shared" si="66"/>
        <v/>
      </c>
      <c r="U233" s="119" t="str">
        <f t="shared" si="67"/>
        <v/>
      </c>
      <c r="V233" s="120" t="str">
        <f t="shared" si="68"/>
        <v/>
      </c>
      <c r="W233" s="120" t="str">
        <f t="shared" si="69"/>
        <v/>
      </c>
      <c r="X233" s="120" t="str">
        <f t="shared" si="96"/>
        <v/>
      </c>
      <c r="Y233" s="121" t="str">
        <f t="shared" si="97"/>
        <v/>
      </c>
      <c r="Z233" s="121" t="str">
        <f t="shared" si="98"/>
        <v/>
      </c>
      <c r="AA233" s="122">
        <v>1</v>
      </c>
      <c r="AB233" s="123">
        <v>1</v>
      </c>
      <c r="AC233" s="123" t="str">
        <f t="shared" si="84"/>
        <v/>
      </c>
      <c r="AD233" s="123" t="str">
        <f t="shared" si="85"/>
        <v/>
      </c>
      <c r="AE233" s="123" t="str">
        <f t="shared" si="86"/>
        <v/>
      </c>
      <c r="AF233" s="123" t="str">
        <f t="shared" si="87"/>
        <v/>
      </c>
      <c r="AG233" s="123" t="str">
        <f t="shared" si="88"/>
        <v/>
      </c>
      <c r="AH233" s="115" t="str">
        <f t="shared" si="89"/>
        <v/>
      </c>
      <c r="AI233" s="115" t="str">
        <f t="shared" si="90"/>
        <v/>
      </c>
      <c r="AJ233" s="115" t="str">
        <f t="shared" si="91"/>
        <v/>
      </c>
      <c r="AK233" s="115" t="str">
        <f t="shared" si="92"/>
        <v/>
      </c>
      <c r="AL233" s="115" t="str">
        <f t="shared" si="93"/>
        <v/>
      </c>
      <c r="AM233" s="115" t="str">
        <f t="shared" si="94"/>
        <v/>
      </c>
      <c r="AN233" s="115" t="str">
        <f t="shared" si="95"/>
        <v/>
      </c>
      <c r="AO233" s="3"/>
      <c r="AP233" s="3"/>
      <c r="AQ233" s="3"/>
      <c r="AR233" s="3"/>
      <c r="AS233" s="3"/>
      <c r="AT233" s="3"/>
      <c r="AU233" s="3"/>
      <c r="AZ233" s="1"/>
      <c r="BA233" s="1"/>
      <c r="BB233" s="1"/>
      <c r="BC233" s="1"/>
      <c r="BD233" s="1"/>
      <c r="BE233" s="1"/>
      <c r="BF233" s="1"/>
    </row>
    <row r="234" spans="1:58">
      <c r="A234" s="109">
        <v>110</v>
      </c>
      <c r="B234" s="114" t="str">
        <f>VLOOKUP(A234,P_DIS!$B$32:$Q$263,12)</f>
        <v>-</v>
      </c>
      <c r="C234" s="114" t="str">
        <f>VLOOKUP(A234,P_DIS!$B$32:$Q$263,13)</f>
        <v>-</v>
      </c>
      <c r="D234" s="114" t="str">
        <f>VLOOKUP(A234,P_DIS!$B$32:$Q$263,15)</f>
        <v>-</v>
      </c>
      <c r="E234" s="114" t="str">
        <f>VLOOKUP(A234,P_DIS!$B$32:$Q$263,14)</f>
        <v>-</v>
      </c>
      <c r="F234" s="114">
        <f>VLOOKUP(A234,P_DIS!$B$32:$Q$263,10)</f>
        <v>0</v>
      </c>
      <c r="G234" s="114" t="str">
        <f>VLOOKUP(A234,P_DIS!$B$32:$Q$263,11)</f>
        <v>-</v>
      </c>
      <c r="H234" s="114" t="str">
        <f>VLOOKUP(A234,P_DIS!$B$32:$Q$263,16)</f>
        <v>-</v>
      </c>
      <c r="I234" s="115" t="str">
        <f t="shared" si="73"/>
        <v/>
      </c>
      <c r="J234" s="116" t="str">
        <f t="shared" si="74"/>
        <v/>
      </c>
      <c r="K234" s="117" t="str">
        <f t="shared" si="75"/>
        <v/>
      </c>
      <c r="L234" s="118" t="str">
        <f t="shared" si="76"/>
        <v/>
      </c>
      <c r="M234" s="118" t="str">
        <f t="shared" si="77"/>
        <v/>
      </c>
      <c r="N234" s="118" t="str">
        <f t="shared" si="78"/>
        <v/>
      </c>
      <c r="O234" s="118" t="str">
        <f t="shared" si="79"/>
        <v/>
      </c>
      <c r="P234" s="118" t="str">
        <f t="shared" si="80"/>
        <v/>
      </c>
      <c r="Q234" s="118" t="str">
        <f t="shared" si="81"/>
        <v/>
      </c>
      <c r="R234" s="118" t="str">
        <f t="shared" si="82"/>
        <v/>
      </c>
      <c r="S234" s="118" t="str">
        <f t="shared" si="83"/>
        <v/>
      </c>
      <c r="T234" s="119" t="str">
        <f t="shared" si="66"/>
        <v/>
      </c>
      <c r="U234" s="119" t="str">
        <f t="shared" si="67"/>
        <v/>
      </c>
      <c r="V234" s="120" t="str">
        <f t="shared" si="68"/>
        <v/>
      </c>
      <c r="W234" s="120" t="str">
        <f t="shared" si="69"/>
        <v/>
      </c>
      <c r="X234" s="120" t="str">
        <f t="shared" si="96"/>
        <v/>
      </c>
      <c r="Y234" s="121" t="str">
        <f t="shared" si="97"/>
        <v/>
      </c>
      <c r="Z234" s="121" t="str">
        <f t="shared" si="98"/>
        <v/>
      </c>
      <c r="AA234" s="122">
        <v>1</v>
      </c>
      <c r="AB234" s="123">
        <v>1</v>
      </c>
      <c r="AC234" s="123" t="str">
        <f t="shared" si="84"/>
        <v/>
      </c>
      <c r="AD234" s="123" t="str">
        <f t="shared" si="85"/>
        <v/>
      </c>
      <c r="AE234" s="123" t="str">
        <f t="shared" si="86"/>
        <v/>
      </c>
      <c r="AF234" s="123" t="str">
        <f t="shared" si="87"/>
        <v/>
      </c>
      <c r="AG234" s="123" t="str">
        <f t="shared" si="88"/>
        <v/>
      </c>
      <c r="AH234" s="115" t="str">
        <f t="shared" si="89"/>
        <v/>
      </c>
      <c r="AI234" s="115" t="str">
        <f t="shared" si="90"/>
        <v/>
      </c>
      <c r="AJ234" s="115" t="str">
        <f t="shared" si="91"/>
        <v/>
      </c>
      <c r="AK234" s="115" t="str">
        <f t="shared" si="92"/>
        <v/>
      </c>
      <c r="AL234" s="115" t="str">
        <f t="shared" si="93"/>
        <v/>
      </c>
      <c r="AM234" s="115" t="str">
        <f t="shared" si="94"/>
        <v/>
      </c>
      <c r="AN234" s="115" t="str">
        <f t="shared" si="95"/>
        <v/>
      </c>
      <c r="AO234" s="3"/>
      <c r="AP234" s="3"/>
      <c r="AQ234" s="3"/>
      <c r="AR234" s="3"/>
      <c r="AS234" s="3"/>
      <c r="AT234" s="3"/>
      <c r="AU234" s="3"/>
      <c r="AZ234" s="1"/>
      <c r="BA234" s="1"/>
      <c r="BB234" s="1"/>
      <c r="BC234" s="1"/>
      <c r="BD234" s="1"/>
      <c r="BE234" s="1"/>
      <c r="BF234" s="1"/>
    </row>
    <row r="235" spans="1:58">
      <c r="A235" s="109">
        <v>111</v>
      </c>
      <c r="B235" s="114" t="str">
        <f>VLOOKUP(A235,P_DIS!$B$32:$Q$263,12)</f>
        <v>-</v>
      </c>
      <c r="C235" s="114" t="str">
        <f>VLOOKUP(A235,P_DIS!$B$32:$Q$263,13)</f>
        <v>-</v>
      </c>
      <c r="D235" s="114" t="str">
        <f>VLOOKUP(A235,P_DIS!$B$32:$Q$263,15)</f>
        <v>-</v>
      </c>
      <c r="E235" s="114" t="str">
        <f>VLOOKUP(A235,P_DIS!$B$32:$Q$263,14)</f>
        <v>-</v>
      </c>
      <c r="F235" s="114">
        <f>VLOOKUP(A235,P_DIS!$B$32:$Q$263,10)</f>
        <v>0</v>
      </c>
      <c r="G235" s="114" t="str">
        <f>VLOOKUP(A235,P_DIS!$B$32:$Q$263,11)</f>
        <v>-</v>
      </c>
      <c r="H235" s="114" t="str">
        <f>VLOOKUP(A235,P_DIS!$B$32:$Q$263,16)</f>
        <v>-</v>
      </c>
      <c r="I235" s="115" t="str">
        <f t="shared" si="73"/>
        <v/>
      </c>
      <c r="J235" s="116" t="str">
        <f t="shared" si="74"/>
        <v/>
      </c>
      <c r="K235" s="117" t="str">
        <f t="shared" si="75"/>
        <v/>
      </c>
      <c r="L235" s="118" t="str">
        <f t="shared" si="76"/>
        <v/>
      </c>
      <c r="M235" s="118" t="str">
        <f t="shared" si="77"/>
        <v/>
      </c>
      <c r="N235" s="118" t="str">
        <f t="shared" si="78"/>
        <v/>
      </c>
      <c r="O235" s="118" t="str">
        <f t="shared" si="79"/>
        <v/>
      </c>
      <c r="P235" s="118" t="str">
        <f t="shared" si="80"/>
        <v/>
      </c>
      <c r="Q235" s="118" t="str">
        <f t="shared" si="81"/>
        <v/>
      </c>
      <c r="R235" s="118" t="str">
        <f t="shared" si="82"/>
        <v/>
      </c>
      <c r="S235" s="118" t="str">
        <f t="shared" si="83"/>
        <v/>
      </c>
      <c r="T235" s="119" t="str">
        <f t="shared" si="66"/>
        <v/>
      </c>
      <c r="U235" s="119" t="str">
        <f t="shared" si="67"/>
        <v/>
      </c>
      <c r="V235" s="120" t="str">
        <f t="shared" si="68"/>
        <v/>
      </c>
      <c r="W235" s="120" t="str">
        <f t="shared" si="69"/>
        <v/>
      </c>
      <c r="X235" s="120" t="str">
        <f t="shared" si="96"/>
        <v/>
      </c>
      <c r="Y235" s="121" t="str">
        <f t="shared" si="97"/>
        <v/>
      </c>
      <c r="Z235" s="121" t="str">
        <f t="shared" si="98"/>
        <v/>
      </c>
      <c r="AA235" s="122">
        <v>1</v>
      </c>
      <c r="AB235" s="123">
        <v>1</v>
      </c>
      <c r="AC235" s="123" t="str">
        <f t="shared" si="84"/>
        <v/>
      </c>
      <c r="AD235" s="123" t="str">
        <f t="shared" si="85"/>
        <v/>
      </c>
      <c r="AE235" s="123" t="str">
        <f t="shared" si="86"/>
        <v/>
      </c>
      <c r="AF235" s="123" t="str">
        <f t="shared" si="87"/>
        <v/>
      </c>
      <c r="AG235" s="123" t="str">
        <f t="shared" si="88"/>
        <v/>
      </c>
      <c r="AH235" s="115" t="str">
        <f t="shared" si="89"/>
        <v/>
      </c>
      <c r="AI235" s="115" t="str">
        <f t="shared" si="90"/>
        <v/>
      </c>
      <c r="AJ235" s="115" t="str">
        <f t="shared" si="91"/>
        <v/>
      </c>
      <c r="AK235" s="115" t="str">
        <f t="shared" si="92"/>
        <v/>
      </c>
      <c r="AL235" s="115" t="str">
        <f t="shared" si="93"/>
        <v/>
      </c>
      <c r="AM235" s="115" t="str">
        <f t="shared" si="94"/>
        <v/>
      </c>
      <c r="AN235" s="115" t="str">
        <f t="shared" si="95"/>
        <v/>
      </c>
      <c r="AO235" s="3"/>
      <c r="AP235" s="3"/>
      <c r="AQ235" s="3"/>
      <c r="AR235" s="3"/>
      <c r="AS235" s="3"/>
      <c r="AT235" s="3"/>
      <c r="AU235" s="3"/>
      <c r="AZ235" s="1"/>
      <c r="BA235" s="1"/>
      <c r="BB235" s="1"/>
      <c r="BC235" s="1"/>
      <c r="BD235" s="1"/>
      <c r="BE235" s="1"/>
      <c r="BF235" s="1"/>
    </row>
    <row r="236" spans="1:58">
      <c r="A236" s="109">
        <v>112</v>
      </c>
      <c r="B236" s="114" t="str">
        <f>VLOOKUP(A236,P_DIS!$B$32:$Q$263,12)</f>
        <v>-</v>
      </c>
      <c r="C236" s="114" t="str">
        <f>VLOOKUP(A236,P_DIS!$B$32:$Q$263,13)</f>
        <v>-</v>
      </c>
      <c r="D236" s="114" t="str">
        <f>VLOOKUP(A236,P_DIS!$B$32:$Q$263,15)</f>
        <v>-</v>
      </c>
      <c r="E236" s="114" t="str">
        <f>VLOOKUP(A236,P_DIS!$B$32:$Q$263,14)</f>
        <v>-</v>
      </c>
      <c r="F236" s="114">
        <f>VLOOKUP(A236,P_DIS!$B$32:$Q$263,10)</f>
        <v>0</v>
      </c>
      <c r="G236" s="114" t="str">
        <f>VLOOKUP(A236,P_DIS!$B$32:$Q$263,11)</f>
        <v>-</v>
      </c>
      <c r="H236" s="114" t="str">
        <f>VLOOKUP(A236,P_DIS!$B$32:$Q$263,16)</f>
        <v>-</v>
      </c>
      <c r="I236" s="115" t="str">
        <f t="shared" si="73"/>
        <v/>
      </c>
      <c r="J236" s="116" t="str">
        <f t="shared" si="74"/>
        <v/>
      </c>
      <c r="K236" s="117" t="str">
        <f t="shared" si="75"/>
        <v/>
      </c>
      <c r="L236" s="118" t="str">
        <f t="shared" si="76"/>
        <v/>
      </c>
      <c r="M236" s="118" t="str">
        <f t="shared" si="77"/>
        <v/>
      </c>
      <c r="N236" s="118" t="str">
        <f t="shared" si="78"/>
        <v/>
      </c>
      <c r="O236" s="118" t="str">
        <f t="shared" si="79"/>
        <v/>
      </c>
      <c r="P236" s="118" t="str">
        <f t="shared" si="80"/>
        <v/>
      </c>
      <c r="Q236" s="118" t="str">
        <f t="shared" si="81"/>
        <v/>
      </c>
      <c r="R236" s="118" t="str">
        <f t="shared" si="82"/>
        <v/>
      </c>
      <c r="S236" s="118" t="str">
        <f t="shared" si="83"/>
        <v/>
      </c>
      <c r="T236" s="119" t="str">
        <f t="shared" si="66"/>
        <v/>
      </c>
      <c r="U236" s="119" t="str">
        <f t="shared" si="67"/>
        <v/>
      </c>
      <c r="V236" s="120" t="str">
        <f t="shared" si="68"/>
        <v/>
      </c>
      <c r="W236" s="120" t="str">
        <f t="shared" si="69"/>
        <v/>
      </c>
      <c r="X236" s="120" t="str">
        <f t="shared" si="96"/>
        <v/>
      </c>
      <c r="Y236" s="121" t="str">
        <f t="shared" si="97"/>
        <v/>
      </c>
      <c r="Z236" s="121" t="str">
        <f t="shared" si="98"/>
        <v/>
      </c>
      <c r="AA236" s="122">
        <v>1</v>
      </c>
      <c r="AB236" s="123">
        <v>1</v>
      </c>
      <c r="AC236" s="123" t="str">
        <f t="shared" si="84"/>
        <v/>
      </c>
      <c r="AD236" s="123" t="str">
        <f t="shared" si="85"/>
        <v/>
      </c>
      <c r="AE236" s="123" t="str">
        <f t="shared" si="86"/>
        <v/>
      </c>
      <c r="AF236" s="123" t="str">
        <f t="shared" si="87"/>
        <v/>
      </c>
      <c r="AG236" s="123" t="str">
        <f t="shared" si="88"/>
        <v/>
      </c>
      <c r="AH236" s="115" t="str">
        <f t="shared" si="89"/>
        <v/>
      </c>
      <c r="AI236" s="115" t="str">
        <f t="shared" si="90"/>
        <v/>
      </c>
      <c r="AJ236" s="115" t="str">
        <f t="shared" si="91"/>
        <v/>
      </c>
      <c r="AK236" s="115" t="str">
        <f t="shared" si="92"/>
        <v/>
      </c>
      <c r="AL236" s="115" t="str">
        <f t="shared" si="93"/>
        <v/>
      </c>
      <c r="AM236" s="115" t="str">
        <f t="shared" si="94"/>
        <v/>
      </c>
      <c r="AN236" s="115" t="str">
        <f t="shared" si="95"/>
        <v/>
      </c>
      <c r="AO236" s="3"/>
      <c r="AP236" s="3"/>
      <c r="AQ236" s="3"/>
      <c r="AR236" s="3"/>
      <c r="AS236" s="3"/>
      <c r="AT236" s="3"/>
      <c r="AU236" s="3"/>
      <c r="AZ236" s="1"/>
      <c r="BA236" s="1"/>
      <c r="BB236" s="1"/>
      <c r="BC236" s="1"/>
      <c r="BD236" s="1"/>
      <c r="BE236" s="1"/>
      <c r="BF236" s="1"/>
    </row>
    <row r="237" spans="1:58">
      <c r="A237" s="109">
        <v>113</v>
      </c>
      <c r="B237" s="114" t="str">
        <f>VLOOKUP(A237,P_DIS!$B$32:$Q$263,12)</f>
        <v>-</v>
      </c>
      <c r="C237" s="114" t="str">
        <f>VLOOKUP(A237,P_DIS!$B$32:$Q$263,13)</f>
        <v>-</v>
      </c>
      <c r="D237" s="114" t="str">
        <f>VLOOKUP(A237,P_DIS!$B$32:$Q$263,15)</f>
        <v>-</v>
      </c>
      <c r="E237" s="114" t="str">
        <f>VLOOKUP(A237,P_DIS!$B$32:$Q$263,14)</f>
        <v>-</v>
      </c>
      <c r="F237" s="114">
        <f>VLOOKUP(A237,P_DIS!$B$32:$Q$263,10)</f>
        <v>0</v>
      </c>
      <c r="G237" s="114" t="str">
        <f>VLOOKUP(A237,P_DIS!$B$32:$Q$263,11)</f>
        <v>-</v>
      </c>
      <c r="H237" s="114" t="str">
        <f>VLOOKUP(A237,P_DIS!$B$32:$Q$263,16)</f>
        <v>-</v>
      </c>
      <c r="I237" s="115" t="str">
        <f t="shared" si="73"/>
        <v/>
      </c>
      <c r="J237" s="116" t="str">
        <f t="shared" si="74"/>
        <v/>
      </c>
      <c r="K237" s="117" t="str">
        <f t="shared" si="75"/>
        <v/>
      </c>
      <c r="L237" s="118" t="str">
        <f t="shared" si="76"/>
        <v/>
      </c>
      <c r="M237" s="118" t="str">
        <f t="shared" si="77"/>
        <v/>
      </c>
      <c r="N237" s="118" t="str">
        <f t="shared" si="78"/>
        <v/>
      </c>
      <c r="O237" s="118" t="str">
        <f t="shared" si="79"/>
        <v/>
      </c>
      <c r="P237" s="118" t="str">
        <f t="shared" si="80"/>
        <v/>
      </c>
      <c r="Q237" s="118" t="str">
        <f t="shared" si="81"/>
        <v/>
      </c>
      <c r="R237" s="118" t="str">
        <f t="shared" si="82"/>
        <v/>
      </c>
      <c r="S237" s="118" t="str">
        <f t="shared" si="83"/>
        <v/>
      </c>
      <c r="T237" s="119" t="str">
        <f t="shared" si="66"/>
        <v/>
      </c>
      <c r="U237" s="119" t="str">
        <f t="shared" si="67"/>
        <v/>
      </c>
      <c r="V237" s="120" t="str">
        <f t="shared" si="68"/>
        <v/>
      </c>
      <c r="W237" s="120" t="str">
        <f t="shared" si="69"/>
        <v/>
      </c>
      <c r="X237" s="120" t="str">
        <f t="shared" si="96"/>
        <v/>
      </c>
      <c r="Y237" s="121" t="str">
        <f t="shared" si="97"/>
        <v/>
      </c>
      <c r="Z237" s="121" t="str">
        <f t="shared" si="98"/>
        <v/>
      </c>
      <c r="AA237" s="122">
        <v>1</v>
      </c>
      <c r="AB237" s="123">
        <v>1</v>
      </c>
      <c r="AC237" s="123" t="str">
        <f t="shared" si="84"/>
        <v/>
      </c>
      <c r="AD237" s="123" t="str">
        <f t="shared" si="85"/>
        <v/>
      </c>
      <c r="AE237" s="123" t="str">
        <f t="shared" si="86"/>
        <v/>
      </c>
      <c r="AF237" s="123" t="str">
        <f t="shared" si="87"/>
        <v/>
      </c>
      <c r="AG237" s="123" t="str">
        <f t="shared" si="88"/>
        <v/>
      </c>
      <c r="AH237" s="115" t="str">
        <f t="shared" si="89"/>
        <v/>
      </c>
      <c r="AI237" s="115" t="str">
        <f t="shared" si="90"/>
        <v/>
      </c>
      <c r="AJ237" s="115" t="str">
        <f t="shared" si="91"/>
        <v/>
      </c>
      <c r="AK237" s="115" t="str">
        <f t="shared" si="92"/>
        <v/>
      </c>
      <c r="AL237" s="115" t="str">
        <f t="shared" si="93"/>
        <v/>
      </c>
      <c r="AM237" s="115" t="str">
        <f t="shared" si="94"/>
        <v/>
      </c>
      <c r="AN237" s="115" t="str">
        <f t="shared" si="95"/>
        <v/>
      </c>
      <c r="AO237" s="3"/>
      <c r="AP237" s="3"/>
      <c r="AQ237" s="3"/>
      <c r="AR237" s="3"/>
      <c r="AS237" s="3"/>
      <c r="AT237" s="3"/>
      <c r="AU237" s="3"/>
      <c r="AZ237" s="1"/>
      <c r="BA237" s="1"/>
      <c r="BB237" s="1"/>
      <c r="BC237" s="1"/>
      <c r="BD237" s="1"/>
      <c r="BE237" s="1"/>
      <c r="BF237" s="1"/>
    </row>
    <row r="238" spans="1:58">
      <c r="A238" s="109">
        <v>114</v>
      </c>
      <c r="B238" s="114" t="str">
        <f>VLOOKUP(A238,P_DIS!$B$32:$Q$263,12)</f>
        <v>-</v>
      </c>
      <c r="C238" s="114" t="str">
        <f>VLOOKUP(A238,P_DIS!$B$32:$Q$263,13)</f>
        <v>-</v>
      </c>
      <c r="D238" s="114" t="str">
        <f>VLOOKUP(A238,P_DIS!$B$32:$Q$263,15)</f>
        <v>-</v>
      </c>
      <c r="E238" s="114" t="str">
        <f>VLOOKUP(A238,P_DIS!$B$32:$Q$263,14)</f>
        <v>-</v>
      </c>
      <c r="F238" s="114">
        <f>VLOOKUP(A238,P_DIS!$B$32:$Q$263,10)</f>
        <v>0</v>
      </c>
      <c r="G238" s="114" t="str">
        <f>VLOOKUP(A238,P_DIS!$B$32:$Q$263,11)</f>
        <v>-</v>
      </c>
      <c r="H238" s="114" t="str">
        <f>VLOOKUP(A238,P_DIS!$B$32:$Q$263,16)</f>
        <v>-</v>
      </c>
      <c r="I238" s="115" t="str">
        <f t="shared" si="73"/>
        <v/>
      </c>
      <c r="J238" s="116" t="str">
        <f t="shared" si="74"/>
        <v/>
      </c>
      <c r="K238" s="117" t="str">
        <f t="shared" si="75"/>
        <v/>
      </c>
      <c r="L238" s="118" t="str">
        <f t="shared" si="76"/>
        <v/>
      </c>
      <c r="M238" s="118" t="str">
        <f t="shared" si="77"/>
        <v/>
      </c>
      <c r="N238" s="118" t="str">
        <f t="shared" si="78"/>
        <v/>
      </c>
      <c r="O238" s="118" t="str">
        <f t="shared" si="79"/>
        <v/>
      </c>
      <c r="P238" s="118" t="str">
        <f t="shared" si="80"/>
        <v/>
      </c>
      <c r="Q238" s="118" t="str">
        <f t="shared" si="81"/>
        <v/>
      </c>
      <c r="R238" s="118" t="str">
        <f t="shared" si="82"/>
        <v/>
      </c>
      <c r="S238" s="118" t="str">
        <f t="shared" si="83"/>
        <v/>
      </c>
      <c r="T238" s="119" t="str">
        <f t="shared" si="66"/>
        <v/>
      </c>
      <c r="U238" s="119" t="str">
        <f t="shared" si="67"/>
        <v/>
      </c>
      <c r="V238" s="120" t="str">
        <f t="shared" si="68"/>
        <v/>
      </c>
      <c r="W238" s="120" t="str">
        <f t="shared" si="69"/>
        <v/>
      </c>
      <c r="X238" s="120" t="str">
        <f t="shared" si="96"/>
        <v/>
      </c>
      <c r="Y238" s="121" t="str">
        <f t="shared" si="97"/>
        <v/>
      </c>
      <c r="Z238" s="121" t="str">
        <f t="shared" si="98"/>
        <v/>
      </c>
      <c r="AA238" s="122">
        <v>1</v>
      </c>
      <c r="AB238" s="123">
        <v>1</v>
      </c>
      <c r="AC238" s="123" t="str">
        <f t="shared" si="84"/>
        <v/>
      </c>
      <c r="AD238" s="123" t="str">
        <f t="shared" si="85"/>
        <v/>
      </c>
      <c r="AE238" s="123" t="str">
        <f t="shared" si="86"/>
        <v/>
      </c>
      <c r="AF238" s="123" t="str">
        <f t="shared" si="87"/>
        <v/>
      </c>
      <c r="AG238" s="123" t="str">
        <f t="shared" si="88"/>
        <v/>
      </c>
      <c r="AH238" s="115" t="str">
        <f t="shared" si="89"/>
        <v/>
      </c>
      <c r="AI238" s="115" t="str">
        <f t="shared" si="90"/>
        <v/>
      </c>
      <c r="AJ238" s="115" t="str">
        <f t="shared" si="91"/>
        <v/>
      </c>
      <c r="AK238" s="115" t="str">
        <f t="shared" si="92"/>
        <v/>
      </c>
      <c r="AL238" s="115" t="str">
        <f t="shared" si="93"/>
        <v/>
      </c>
      <c r="AM238" s="115" t="str">
        <f t="shared" si="94"/>
        <v/>
      </c>
      <c r="AN238" s="115" t="str">
        <f t="shared" si="95"/>
        <v/>
      </c>
      <c r="AO238" s="3"/>
      <c r="AP238" s="3"/>
      <c r="AQ238" s="3"/>
      <c r="AR238" s="3"/>
      <c r="AS238" s="3"/>
      <c r="AT238" s="3"/>
      <c r="AU238" s="3"/>
      <c r="AZ238" s="1"/>
      <c r="BA238" s="1"/>
      <c r="BB238" s="1"/>
      <c r="BC238" s="1"/>
      <c r="BD238" s="1"/>
      <c r="BE238" s="1"/>
      <c r="BF238" s="1"/>
    </row>
    <row r="239" spans="1:58">
      <c r="A239" s="109">
        <v>115</v>
      </c>
      <c r="B239" s="114" t="str">
        <f>VLOOKUP(A239,P_DIS!$B$32:$Q$263,12)</f>
        <v>-</v>
      </c>
      <c r="C239" s="114" t="str">
        <f>VLOOKUP(A239,P_DIS!$B$32:$Q$263,13)</f>
        <v>-</v>
      </c>
      <c r="D239" s="114" t="str">
        <f>VLOOKUP(A239,P_DIS!$B$32:$Q$263,15)</f>
        <v>-</v>
      </c>
      <c r="E239" s="114" t="str">
        <f>VLOOKUP(A239,P_DIS!$B$32:$Q$263,14)</f>
        <v>-</v>
      </c>
      <c r="F239" s="114">
        <f>VLOOKUP(A239,P_DIS!$B$32:$Q$263,10)</f>
        <v>0</v>
      </c>
      <c r="G239" s="114" t="str">
        <f>VLOOKUP(A239,P_DIS!$B$32:$Q$263,11)</f>
        <v>-</v>
      </c>
      <c r="H239" s="114" t="str">
        <f>VLOOKUP(A239,P_DIS!$B$32:$Q$263,16)</f>
        <v>-</v>
      </c>
      <c r="I239" s="115" t="str">
        <f t="shared" si="73"/>
        <v/>
      </c>
      <c r="J239" s="116" t="str">
        <f t="shared" si="74"/>
        <v/>
      </c>
      <c r="K239" s="117" t="str">
        <f t="shared" si="75"/>
        <v/>
      </c>
      <c r="L239" s="118" t="str">
        <f t="shared" si="76"/>
        <v/>
      </c>
      <c r="M239" s="118" t="str">
        <f t="shared" si="77"/>
        <v/>
      </c>
      <c r="N239" s="118" t="str">
        <f t="shared" si="78"/>
        <v/>
      </c>
      <c r="O239" s="118" t="str">
        <f t="shared" si="79"/>
        <v/>
      </c>
      <c r="P239" s="118" t="str">
        <f t="shared" si="80"/>
        <v/>
      </c>
      <c r="Q239" s="118" t="str">
        <f t="shared" si="81"/>
        <v/>
      </c>
      <c r="R239" s="118" t="str">
        <f t="shared" si="82"/>
        <v/>
      </c>
      <c r="S239" s="118" t="str">
        <f t="shared" si="83"/>
        <v/>
      </c>
      <c r="T239" s="119" t="str">
        <f t="shared" si="66"/>
        <v/>
      </c>
      <c r="U239" s="119" t="str">
        <f t="shared" si="67"/>
        <v/>
      </c>
      <c r="V239" s="120" t="str">
        <f t="shared" si="68"/>
        <v/>
      </c>
      <c r="W239" s="120" t="str">
        <f t="shared" si="69"/>
        <v/>
      </c>
      <c r="X239" s="120" t="str">
        <f t="shared" si="96"/>
        <v/>
      </c>
      <c r="Y239" s="121" t="str">
        <f t="shared" si="97"/>
        <v/>
      </c>
      <c r="Z239" s="121" t="str">
        <f t="shared" si="98"/>
        <v/>
      </c>
      <c r="AA239" s="122">
        <v>1</v>
      </c>
      <c r="AB239" s="123">
        <v>1</v>
      </c>
      <c r="AC239" s="123" t="str">
        <f t="shared" si="84"/>
        <v/>
      </c>
      <c r="AD239" s="123" t="str">
        <f t="shared" si="85"/>
        <v/>
      </c>
      <c r="AE239" s="123" t="str">
        <f t="shared" si="86"/>
        <v/>
      </c>
      <c r="AF239" s="123" t="str">
        <f t="shared" si="87"/>
        <v/>
      </c>
      <c r="AG239" s="123" t="str">
        <f t="shared" si="88"/>
        <v/>
      </c>
      <c r="AH239" s="115" t="str">
        <f t="shared" si="89"/>
        <v/>
      </c>
      <c r="AI239" s="115" t="str">
        <f t="shared" si="90"/>
        <v/>
      </c>
      <c r="AJ239" s="115" t="str">
        <f t="shared" si="91"/>
        <v/>
      </c>
      <c r="AK239" s="115" t="str">
        <f t="shared" si="92"/>
        <v/>
      </c>
      <c r="AL239" s="115" t="str">
        <f t="shared" si="93"/>
        <v/>
      </c>
      <c r="AM239" s="115" t="str">
        <f t="shared" si="94"/>
        <v/>
      </c>
      <c r="AN239" s="115" t="str">
        <f t="shared" si="95"/>
        <v/>
      </c>
      <c r="AO239" s="3"/>
      <c r="AP239" s="3"/>
      <c r="AQ239" s="3"/>
      <c r="AR239" s="3"/>
      <c r="AS239" s="3"/>
      <c r="AT239" s="3"/>
      <c r="AU239" s="3"/>
      <c r="AZ239" s="1"/>
      <c r="BA239" s="1"/>
      <c r="BB239" s="1"/>
      <c r="BC239" s="1"/>
      <c r="BD239" s="1"/>
      <c r="BE239" s="1"/>
      <c r="BF239" s="1"/>
    </row>
    <row r="240" spans="1:58">
      <c r="A240" s="109">
        <v>116</v>
      </c>
      <c r="B240" s="114" t="str">
        <f>VLOOKUP(A240,P_DIS!$B$32:$Q$263,12)</f>
        <v>-</v>
      </c>
      <c r="C240" s="114" t="str">
        <f>VLOOKUP(A240,P_DIS!$B$32:$Q$263,13)</f>
        <v>-</v>
      </c>
      <c r="D240" s="114" t="str">
        <f>VLOOKUP(A240,P_DIS!$B$32:$Q$263,15)</f>
        <v>-</v>
      </c>
      <c r="E240" s="114" t="str">
        <f>VLOOKUP(A240,P_DIS!$B$32:$Q$263,14)</f>
        <v>-</v>
      </c>
      <c r="F240" s="114">
        <f>VLOOKUP(A240,P_DIS!$B$32:$Q$263,10)</f>
        <v>0</v>
      </c>
      <c r="G240" s="114" t="str">
        <f>VLOOKUP(A240,P_DIS!$B$32:$Q$263,11)</f>
        <v>-</v>
      </c>
      <c r="H240" s="114" t="str">
        <f>VLOOKUP(A240,P_DIS!$B$32:$Q$263,16)</f>
        <v>-</v>
      </c>
      <c r="I240" s="115" t="str">
        <f t="shared" si="73"/>
        <v/>
      </c>
      <c r="J240" s="116" t="str">
        <f t="shared" si="74"/>
        <v/>
      </c>
      <c r="K240" s="117" t="str">
        <f t="shared" si="75"/>
        <v/>
      </c>
      <c r="L240" s="118" t="str">
        <f t="shared" si="76"/>
        <v/>
      </c>
      <c r="M240" s="118" t="str">
        <f t="shared" si="77"/>
        <v/>
      </c>
      <c r="N240" s="118" t="str">
        <f t="shared" si="78"/>
        <v/>
      </c>
      <c r="O240" s="118" t="str">
        <f t="shared" si="79"/>
        <v/>
      </c>
      <c r="P240" s="118" t="str">
        <f t="shared" si="80"/>
        <v/>
      </c>
      <c r="Q240" s="118" t="str">
        <f t="shared" si="81"/>
        <v/>
      </c>
      <c r="R240" s="118" t="str">
        <f t="shared" si="82"/>
        <v/>
      </c>
      <c r="S240" s="118" t="str">
        <f t="shared" si="83"/>
        <v/>
      </c>
      <c r="T240" s="119" t="str">
        <f t="shared" si="66"/>
        <v/>
      </c>
      <c r="U240" s="119" t="str">
        <f t="shared" si="67"/>
        <v/>
      </c>
      <c r="V240" s="120" t="str">
        <f t="shared" si="68"/>
        <v/>
      </c>
      <c r="W240" s="120" t="str">
        <f t="shared" si="69"/>
        <v/>
      </c>
      <c r="X240" s="120" t="str">
        <f t="shared" si="96"/>
        <v/>
      </c>
      <c r="Y240" s="121" t="str">
        <f t="shared" si="97"/>
        <v/>
      </c>
      <c r="Z240" s="121" t="str">
        <f t="shared" si="98"/>
        <v/>
      </c>
      <c r="AA240" s="122">
        <v>1</v>
      </c>
      <c r="AB240" s="123">
        <v>1</v>
      </c>
      <c r="AC240" s="123" t="str">
        <f t="shared" si="84"/>
        <v/>
      </c>
      <c r="AD240" s="123" t="str">
        <f t="shared" si="85"/>
        <v/>
      </c>
      <c r="AE240" s="123" t="str">
        <f t="shared" si="86"/>
        <v/>
      </c>
      <c r="AF240" s="123" t="str">
        <f t="shared" si="87"/>
        <v/>
      </c>
      <c r="AG240" s="123" t="str">
        <f t="shared" si="88"/>
        <v/>
      </c>
      <c r="AH240" s="115" t="str">
        <f t="shared" si="89"/>
        <v/>
      </c>
      <c r="AI240" s="115" t="str">
        <f t="shared" si="90"/>
        <v/>
      </c>
      <c r="AJ240" s="115" t="str">
        <f t="shared" si="91"/>
        <v/>
      </c>
      <c r="AK240" s="115" t="str">
        <f t="shared" si="92"/>
        <v/>
      </c>
      <c r="AL240" s="115" t="str">
        <f t="shared" si="93"/>
        <v/>
      </c>
      <c r="AM240" s="115" t="str">
        <f t="shared" si="94"/>
        <v/>
      </c>
      <c r="AN240" s="115" t="str">
        <f t="shared" si="95"/>
        <v/>
      </c>
      <c r="AO240" s="3"/>
      <c r="AP240" s="3"/>
      <c r="AQ240" s="3"/>
      <c r="AR240" s="3"/>
      <c r="AS240" s="3"/>
      <c r="AT240" s="3"/>
      <c r="AU240" s="3"/>
      <c r="AZ240" s="1"/>
      <c r="BA240" s="1"/>
      <c r="BB240" s="1"/>
      <c r="BC240" s="1"/>
      <c r="BD240" s="1"/>
      <c r="BE240" s="1"/>
      <c r="BF240" s="1"/>
    </row>
    <row r="241" spans="1:58">
      <c r="A241" s="109">
        <v>117</v>
      </c>
      <c r="B241" s="114" t="str">
        <f>VLOOKUP(A241,P_DIS!$B$32:$Q$263,12)</f>
        <v>-</v>
      </c>
      <c r="C241" s="114" t="str">
        <f>VLOOKUP(A241,P_DIS!$B$32:$Q$263,13)</f>
        <v>-</v>
      </c>
      <c r="D241" s="114" t="str">
        <f>VLOOKUP(A241,P_DIS!$B$32:$Q$263,15)</f>
        <v>-</v>
      </c>
      <c r="E241" s="114" t="str">
        <f>VLOOKUP(A241,P_DIS!$B$32:$Q$263,14)</f>
        <v>-</v>
      </c>
      <c r="F241" s="114">
        <f>VLOOKUP(A241,P_DIS!$B$32:$Q$263,10)</f>
        <v>0</v>
      </c>
      <c r="G241" s="114" t="str">
        <f>VLOOKUP(A241,P_DIS!$B$32:$Q$263,11)</f>
        <v>-</v>
      </c>
      <c r="H241" s="114" t="str">
        <f>VLOOKUP(A241,P_DIS!$B$32:$Q$263,16)</f>
        <v>-</v>
      </c>
      <c r="I241" s="115" t="str">
        <f t="shared" si="73"/>
        <v/>
      </c>
      <c r="J241" s="116" t="str">
        <f t="shared" si="74"/>
        <v/>
      </c>
      <c r="K241" s="117" t="str">
        <f t="shared" si="75"/>
        <v/>
      </c>
      <c r="L241" s="118" t="str">
        <f t="shared" si="76"/>
        <v/>
      </c>
      <c r="M241" s="118" t="str">
        <f t="shared" si="77"/>
        <v/>
      </c>
      <c r="N241" s="118" t="str">
        <f t="shared" si="78"/>
        <v/>
      </c>
      <c r="O241" s="118" t="str">
        <f t="shared" si="79"/>
        <v/>
      </c>
      <c r="P241" s="118" t="str">
        <f t="shared" si="80"/>
        <v/>
      </c>
      <c r="Q241" s="118" t="str">
        <f t="shared" si="81"/>
        <v/>
      </c>
      <c r="R241" s="118" t="str">
        <f t="shared" si="82"/>
        <v/>
      </c>
      <c r="S241" s="118" t="str">
        <f t="shared" si="83"/>
        <v/>
      </c>
      <c r="T241" s="119" t="str">
        <f t="shared" si="66"/>
        <v/>
      </c>
      <c r="U241" s="119" t="str">
        <f t="shared" si="67"/>
        <v/>
      </c>
      <c r="V241" s="120" t="str">
        <f t="shared" si="68"/>
        <v/>
      </c>
      <c r="W241" s="120" t="str">
        <f t="shared" si="69"/>
        <v/>
      </c>
      <c r="X241" s="120" t="str">
        <f t="shared" si="96"/>
        <v/>
      </c>
      <c r="Y241" s="121" t="str">
        <f t="shared" si="97"/>
        <v/>
      </c>
      <c r="Z241" s="121" t="str">
        <f t="shared" si="98"/>
        <v/>
      </c>
      <c r="AA241" s="122">
        <v>1</v>
      </c>
      <c r="AB241" s="123">
        <v>1</v>
      </c>
      <c r="AC241" s="123" t="str">
        <f t="shared" si="84"/>
        <v/>
      </c>
      <c r="AD241" s="123" t="str">
        <f t="shared" si="85"/>
        <v/>
      </c>
      <c r="AE241" s="123" t="str">
        <f t="shared" si="86"/>
        <v/>
      </c>
      <c r="AF241" s="123" t="str">
        <f t="shared" si="87"/>
        <v/>
      </c>
      <c r="AG241" s="123" t="str">
        <f t="shared" si="88"/>
        <v/>
      </c>
      <c r="AH241" s="115" t="str">
        <f t="shared" si="89"/>
        <v/>
      </c>
      <c r="AI241" s="115" t="str">
        <f t="shared" si="90"/>
        <v/>
      </c>
      <c r="AJ241" s="115" t="str">
        <f t="shared" si="91"/>
        <v/>
      </c>
      <c r="AK241" s="115" t="str">
        <f t="shared" si="92"/>
        <v/>
      </c>
      <c r="AL241" s="115" t="str">
        <f t="shared" si="93"/>
        <v/>
      </c>
      <c r="AM241" s="115" t="str">
        <f t="shared" si="94"/>
        <v/>
      </c>
      <c r="AN241" s="115" t="str">
        <f t="shared" si="95"/>
        <v/>
      </c>
      <c r="AO241" s="3"/>
      <c r="AP241" s="3"/>
      <c r="AQ241" s="3"/>
      <c r="AR241" s="3"/>
      <c r="AS241" s="3"/>
      <c r="AT241" s="3"/>
      <c r="AU241" s="3"/>
      <c r="AZ241" s="1"/>
      <c r="BA241" s="1"/>
      <c r="BB241" s="1"/>
      <c r="BC241" s="1"/>
      <c r="BD241" s="1"/>
      <c r="BE241" s="1"/>
      <c r="BF241" s="1"/>
    </row>
    <row r="242" spans="1:58">
      <c r="A242" s="109">
        <v>118</v>
      </c>
      <c r="B242" s="114" t="str">
        <f>VLOOKUP(A242,P_DIS!$B$32:$Q$263,12)</f>
        <v>-</v>
      </c>
      <c r="C242" s="114" t="str">
        <f>VLOOKUP(A242,P_DIS!$B$32:$Q$263,13)</f>
        <v>-</v>
      </c>
      <c r="D242" s="114" t="str">
        <f>VLOOKUP(A242,P_DIS!$B$32:$Q$263,15)</f>
        <v>-</v>
      </c>
      <c r="E242" s="114" t="str">
        <f>VLOOKUP(A242,P_DIS!$B$32:$Q$263,14)</f>
        <v>-</v>
      </c>
      <c r="F242" s="114">
        <f>VLOOKUP(A242,P_DIS!$B$32:$Q$263,10)</f>
        <v>0</v>
      </c>
      <c r="G242" s="114" t="str">
        <f>VLOOKUP(A242,P_DIS!$B$32:$Q$263,11)</f>
        <v>-</v>
      </c>
      <c r="H242" s="114" t="str">
        <f>VLOOKUP(A242,P_DIS!$B$32:$Q$263,16)</f>
        <v>-</v>
      </c>
      <c r="I242" s="115" t="str">
        <f t="shared" si="73"/>
        <v/>
      </c>
      <c r="J242" s="116" t="str">
        <f t="shared" si="74"/>
        <v/>
      </c>
      <c r="K242" s="117" t="str">
        <f t="shared" si="75"/>
        <v/>
      </c>
      <c r="L242" s="118" t="str">
        <f t="shared" si="76"/>
        <v/>
      </c>
      <c r="M242" s="118" t="str">
        <f t="shared" si="77"/>
        <v/>
      </c>
      <c r="N242" s="118" t="str">
        <f t="shared" si="78"/>
        <v/>
      </c>
      <c r="O242" s="118" t="str">
        <f t="shared" si="79"/>
        <v/>
      </c>
      <c r="P242" s="118" t="str">
        <f t="shared" si="80"/>
        <v/>
      </c>
      <c r="Q242" s="118" t="str">
        <f t="shared" si="81"/>
        <v/>
      </c>
      <c r="R242" s="118" t="str">
        <f t="shared" si="82"/>
        <v/>
      </c>
      <c r="S242" s="118" t="str">
        <f t="shared" si="83"/>
        <v/>
      </c>
      <c r="T242" s="119" t="str">
        <f t="shared" si="66"/>
        <v/>
      </c>
      <c r="U242" s="119" t="str">
        <f t="shared" si="67"/>
        <v/>
      </c>
      <c r="V242" s="120" t="str">
        <f t="shared" si="68"/>
        <v/>
      </c>
      <c r="W242" s="120" t="str">
        <f t="shared" si="69"/>
        <v/>
      </c>
      <c r="X242" s="120" t="str">
        <f t="shared" si="96"/>
        <v/>
      </c>
      <c r="Y242" s="121" t="str">
        <f t="shared" si="97"/>
        <v/>
      </c>
      <c r="Z242" s="121" t="str">
        <f t="shared" si="98"/>
        <v/>
      </c>
      <c r="AA242" s="122">
        <v>1</v>
      </c>
      <c r="AB242" s="123">
        <v>1</v>
      </c>
      <c r="AC242" s="123" t="str">
        <f t="shared" si="84"/>
        <v/>
      </c>
      <c r="AD242" s="123" t="str">
        <f t="shared" si="85"/>
        <v/>
      </c>
      <c r="AE242" s="123" t="str">
        <f t="shared" si="86"/>
        <v/>
      </c>
      <c r="AF242" s="123" t="str">
        <f t="shared" si="87"/>
        <v/>
      </c>
      <c r="AG242" s="123" t="str">
        <f t="shared" si="88"/>
        <v/>
      </c>
      <c r="AH242" s="115" t="str">
        <f t="shared" si="89"/>
        <v/>
      </c>
      <c r="AI242" s="115" t="str">
        <f t="shared" si="90"/>
        <v/>
      </c>
      <c r="AJ242" s="115" t="str">
        <f t="shared" si="91"/>
        <v/>
      </c>
      <c r="AK242" s="115" t="str">
        <f t="shared" si="92"/>
        <v/>
      </c>
      <c r="AL242" s="115" t="str">
        <f t="shared" si="93"/>
        <v/>
      </c>
      <c r="AM242" s="115" t="str">
        <f t="shared" si="94"/>
        <v/>
      </c>
      <c r="AN242" s="115" t="str">
        <f t="shared" si="95"/>
        <v/>
      </c>
      <c r="AO242" s="3"/>
      <c r="AP242" s="3"/>
      <c r="AQ242" s="3"/>
      <c r="AR242" s="3"/>
      <c r="AS242" s="3"/>
      <c r="AT242" s="3"/>
      <c r="AU242" s="3"/>
      <c r="AZ242" s="1"/>
      <c r="BA242" s="1"/>
      <c r="BB242" s="1"/>
      <c r="BC242" s="1"/>
      <c r="BD242" s="1"/>
      <c r="BE242" s="1"/>
      <c r="BF242" s="1"/>
    </row>
    <row r="243" spans="1:58">
      <c r="A243" s="109">
        <v>119</v>
      </c>
      <c r="B243" s="114" t="str">
        <f>VLOOKUP(A243,P_DIS!$B$32:$Q$263,12)</f>
        <v>-</v>
      </c>
      <c r="C243" s="114" t="str">
        <f>VLOOKUP(A243,P_DIS!$B$32:$Q$263,13)</f>
        <v>-</v>
      </c>
      <c r="D243" s="114" t="str">
        <f>VLOOKUP(A243,P_DIS!$B$32:$Q$263,15)</f>
        <v>-</v>
      </c>
      <c r="E243" s="114" t="str">
        <f>VLOOKUP(A243,P_DIS!$B$32:$Q$263,14)</f>
        <v>-</v>
      </c>
      <c r="F243" s="114">
        <f>VLOOKUP(A243,P_DIS!$B$32:$Q$263,10)</f>
        <v>0</v>
      </c>
      <c r="G243" s="114" t="str">
        <f>VLOOKUP(A243,P_DIS!$B$32:$Q$263,11)</f>
        <v>-</v>
      </c>
      <c r="H243" s="114" t="str">
        <f>VLOOKUP(A243,P_DIS!$B$32:$Q$263,16)</f>
        <v>-</v>
      </c>
      <c r="I243" s="115" t="str">
        <f t="shared" si="73"/>
        <v/>
      </c>
      <c r="J243" s="116" t="str">
        <f t="shared" si="74"/>
        <v/>
      </c>
      <c r="K243" s="117" t="str">
        <f t="shared" si="75"/>
        <v/>
      </c>
      <c r="L243" s="118" t="str">
        <f t="shared" si="76"/>
        <v/>
      </c>
      <c r="M243" s="118" t="str">
        <f t="shared" si="77"/>
        <v/>
      </c>
      <c r="N243" s="118" t="str">
        <f t="shared" si="78"/>
        <v/>
      </c>
      <c r="O243" s="118" t="str">
        <f t="shared" si="79"/>
        <v/>
      </c>
      <c r="P243" s="118" t="str">
        <f t="shared" si="80"/>
        <v/>
      </c>
      <c r="Q243" s="118" t="str">
        <f t="shared" si="81"/>
        <v/>
      </c>
      <c r="R243" s="118" t="str">
        <f t="shared" si="82"/>
        <v/>
      </c>
      <c r="S243" s="118" t="str">
        <f t="shared" si="83"/>
        <v/>
      </c>
      <c r="T243" s="119" t="str">
        <f t="shared" si="66"/>
        <v/>
      </c>
      <c r="U243" s="119" t="str">
        <f t="shared" si="67"/>
        <v/>
      </c>
      <c r="V243" s="120" t="str">
        <f t="shared" si="68"/>
        <v/>
      </c>
      <c r="W243" s="120" t="str">
        <f t="shared" si="69"/>
        <v/>
      </c>
      <c r="X243" s="120" t="str">
        <f t="shared" si="96"/>
        <v/>
      </c>
      <c r="Y243" s="121" t="str">
        <f t="shared" si="97"/>
        <v/>
      </c>
      <c r="Z243" s="121" t="str">
        <f t="shared" si="98"/>
        <v/>
      </c>
      <c r="AA243" s="122">
        <v>1</v>
      </c>
      <c r="AB243" s="123">
        <v>1</v>
      </c>
      <c r="AC243" s="123" t="str">
        <f t="shared" si="84"/>
        <v/>
      </c>
      <c r="AD243" s="123" t="str">
        <f t="shared" si="85"/>
        <v/>
      </c>
      <c r="AE243" s="123" t="str">
        <f t="shared" si="86"/>
        <v/>
      </c>
      <c r="AF243" s="123" t="str">
        <f t="shared" si="87"/>
        <v/>
      </c>
      <c r="AG243" s="123" t="str">
        <f t="shared" si="88"/>
        <v/>
      </c>
      <c r="AH243" s="115" t="str">
        <f t="shared" si="89"/>
        <v/>
      </c>
      <c r="AI243" s="115" t="str">
        <f t="shared" si="90"/>
        <v/>
      </c>
      <c r="AJ243" s="115" t="str">
        <f t="shared" si="91"/>
        <v/>
      </c>
      <c r="AK243" s="115" t="str">
        <f t="shared" si="92"/>
        <v/>
      </c>
      <c r="AL243" s="115" t="str">
        <f t="shared" si="93"/>
        <v/>
      </c>
      <c r="AM243" s="115" t="str">
        <f t="shared" si="94"/>
        <v/>
      </c>
      <c r="AN243" s="115" t="str">
        <f t="shared" si="95"/>
        <v/>
      </c>
      <c r="AO243" s="3"/>
      <c r="AP243" s="3"/>
      <c r="AQ243" s="3"/>
      <c r="AR243" s="3"/>
      <c r="AS243" s="3"/>
      <c r="AT243" s="3"/>
      <c r="AU243" s="3"/>
      <c r="AZ243" s="1"/>
      <c r="BA243" s="1"/>
      <c r="BB243" s="1"/>
      <c r="BC243" s="1"/>
      <c r="BD243" s="1"/>
      <c r="BE243" s="1"/>
      <c r="BF243" s="1"/>
    </row>
    <row r="244" spans="1:58">
      <c r="A244" s="109">
        <v>120</v>
      </c>
      <c r="B244" s="114" t="str">
        <f>VLOOKUP(A244,P_DIS!$B$32:$Q$263,12)</f>
        <v>-</v>
      </c>
      <c r="C244" s="114" t="str">
        <f>VLOOKUP(A244,P_DIS!$B$32:$Q$263,13)</f>
        <v>-</v>
      </c>
      <c r="D244" s="114" t="str">
        <f>VLOOKUP(A244,P_DIS!$B$32:$Q$263,15)</f>
        <v>-</v>
      </c>
      <c r="E244" s="114" t="str">
        <f>VLOOKUP(A244,P_DIS!$B$32:$Q$263,14)</f>
        <v>-</v>
      </c>
      <c r="F244" s="114">
        <f>VLOOKUP(A244,P_DIS!$B$32:$Q$263,10)</f>
        <v>0</v>
      </c>
      <c r="G244" s="114" t="str">
        <f>VLOOKUP(A244,P_DIS!$B$32:$Q$263,11)</f>
        <v>-</v>
      </c>
      <c r="H244" s="114" t="str">
        <f>VLOOKUP(A244,P_DIS!$B$32:$Q$263,16)</f>
        <v>-</v>
      </c>
      <c r="I244" s="115" t="str">
        <f t="shared" si="73"/>
        <v/>
      </c>
      <c r="J244" s="116" t="str">
        <f t="shared" si="74"/>
        <v/>
      </c>
      <c r="K244" s="117" t="str">
        <f t="shared" si="75"/>
        <v/>
      </c>
      <c r="L244" s="118" t="str">
        <f t="shared" si="76"/>
        <v/>
      </c>
      <c r="M244" s="118" t="str">
        <f t="shared" si="77"/>
        <v/>
      </c>
      <c r="N244" s="118" t="str">
        <f t="shared" si="78"/>
        <v/>
      </c>
      <c r="O244" s="118" t="str">
        <f t="shared" si="79"/>
        <v/>
      </c>
      <c r="P244" s="118" t="str">
        <f t="shared" si="80"/>
        <v/>
      </c>
      <c r="Q244" s="118" t="str">
        <f t="shared" si="81"/>
        <v/>
      </c>
      <c r="R244" s="118" t="str">
        <f t="shared" si="82"/>
        <v/>
      </c>
      <c r="S244" s="118" t="str">
        <f t="shared" si="83"/>
        <v/>
      </c>
      <c r="T244" s="119" t="str">
        <f t="shared" si="66"/>
        <v/>
      </c>
      <c r="U244" s="119" t="str">
        <f t="shared" si="67"/>
        <v/>
      </c>
      <c r="V244" s="120" t="str">
        <f t="shared" si="68"/>
        <v/>
      </c>
      <c r="W244" s="120" t="str">
        <f t="shared" si="69"/>
        <v/>
      </c>
      <c r="X244" s="120" t="str">
        <f t="shared" si="96"/>
        <v/>
      </c>
      <c r="Y244" s="121" t="str">
        <f t="shared" si="97"/>
        <v/>
      </c>
      <c r="Z244" s="121" t="str">
        <f t="shared" si="98"/>
        <v/>
      </c>
      <c r="AA244" s="122">
        <v>1</v>
      </c>
      <c r="AB244" s="123">
        <v>1</v>
      </c>
      <c r="AC244" s="123" t="str">
        <f t="shared" si="84"/>
        <v/>
      </c>
      <c r="AD244" s="123" t="str">
        <f t="shared" si="85"/>
        <v/>
      </c>
      <c r="AE244" s="123" t="str">
        <f t="shared" si="86"/>
        <v/>
      </c>
      <c r="AF244" s="123" t="str">
        <f t="shared" si="87"/>
        <v/>
      </c>
      <c r="AG244" s="123" t="str">
        <f t="shared" si="88"/>
        <v/>
      </c>
      <c r="AH244" s="115" t="str">
        <f t="shared" si="89"/>
        <v/>
      </c>
      <c r="AI244" s="115" t="str">
        <f t="shared" si="90"/>
        <v/>
      </c>
      <c r="AJ244" s="115" t="str">
        <f t="shared" si="91"/>
        <v/>
      </c>
      <c r="AK244" s="115" t="str">
        <f t="shared" si="92"/>
        <v/>
      </c>
      <c r="AL244" s="115" t="str">
        <f t="shared" si="93"/>
        <v/>
      </c>
      <c r="AM244" s="115" t="str">
        <f t="shared" si="94"/>
        <v/>
      </c>
      <c r="AN244" s="115" t="str">
        <f t="shared" si="95"/>
        <v/>
      </c>
      <c r="AO244" s="3"/>
      <c r="AP244" s="3"/>
      <c r="AQ244" s="3"/>
      <c r="AR244" s="3"/>
      <c r="AS244" s="3"/>
      <c r="AT244" s="3"/>
      <c r="AU244" s="3"/>
      <c r="AZ244" s="1"/>
      <c r="BA244" s="1"/>
      <c r="BB244" s="1"/>
      <c r="BC244" s="1"/>
      <c r="BD244" s="1"/>
      <c r="BE244" s="1"/>
      <c r="BF244" s="1"/>
    </row>
    <row r="245" spans="1:58">
      <c r="A245" s="109">
        <v>121</v>
      </c>
      <c r="B245" s="114" t="str">
        <f>VLOOKUP(A245,P_DIS!$B$32:$Q$263,12)</f>
        <v>-</v>
      </c>
      <c r="C245" s="114" t="str">
        <f>VLOOKUP(A245,P_DIS!$B$32:$Q$263,13)</f>
        <v>-</v>
      </c>
      <c r="D245" s="114" t="str">
        <f>VLOOKUP(A245,P_DIS!$B$32:$Q$263,15)</f>
        <v>-</v>
      </c>
      <c r="E245" s="114" t="str">
        <f>VLOOKUP(A245,P_DIS!$B$32:$Q$263,14)</f>
        <v>-</v>
      </c>
      <c r="F245" s="114">
        <f>VLOOKUP(A245,P_DIS!$B$32:$Q$263,10)</f>
        <v>0</v>
      </c>
      <c r="G245" s="114" t="str">
        <f>VLOOKUP(A245,P_DIS!$B$32:$Q$263,11)</f>
        <v>-</v>
      </c>
      <c r="H245" s="114" t="str">
        <f>VLOOKUP(A245,P_DIS!$B$32:$Q$263,16)</f>
        <v>-</v>
      </c>
      <c r="I245" s="115" t="str">
        <f t="shared" si="73"/>
        <v/>
      </c>
      <c r="J245" s="116" t="str">
        <f t="shared" si="74"/>
        <v/>
      </c>
      <c r="K245" s="117" t="str">
        <f t="shared" si="75"/>
        <v/>
      </c>
      <c r="L245" s="118" t="str">
        <f t="shared" si="76"/>
        <v/>
      </c>
      <c r="M245" s="118" t="str">
        <f t="shared" si="77"/>
        <v/>
      </c>
      <c r="N245" s="118" t="str">
        <f t="shared" si="78"/>
        <v/>
      </c>
      <c r="O245" s="118" t="str">
        <f t="shared" si="79"/>
        <v/>
      </c>
      <c r="P245" s="118" t="str">
        <f t="shared" si="80"/>
        <v/>
      </c>
      <c r="Q245" s="118" t="str">
        <f t="shared" si="81"/>
        <v/>
      </c>
      <c r="R245" s="118" t="str">
        <f t="shared" si="82"/>
        <v/>
      </c>
      <c r="S245" s="118" t="str">
        <f t="shared" si="83"/>
        <v/>
      </c>
      <c r="T245" s="119" t="str">
        <f t="shared" si="66"/>
        <v/>
      </c>
      <c r="U245" s="119" t="str">
        <f t="shared" si="67"/>
        <v/>
      </c>
      <c r="V245" s="120" t="str">
        <f t="shared" si="68"/>
        <v/>
      </c>
      <c r="W245" s="120" t="str">
        <f t="shared" si="69"/>
        <v/>
      </c>
      <c r="X245" s="120" t="str">
        <f t="shared" si="96"/>
        <v/>
      </c>
      <c r="Y245" s="121" t="str">
        <f t="shared" si="97"/>
        <v/>
      </c>
      <c r="Z245" s="121" t="str">
        <f t="shared" si="98"/>
        <v/>
      </c>
      <c r="AA245" s="122">
        <v>1</v>
      </c>
      <c r="AB245" s="123">
        <v>1</v>
      </c>
      <c r="AC245" s="123" t="str">
        <f t="shared" si="84"/>
        <v/>
      </c>
      <c r="AD245" s="123" t="str">
        <f t="shared" si="85"/>
        <v/>
      </c>
      <c r="AE245" s="123" t="str">
        <f t="shared" si="86"/>
        <v/>
      </c>
      <c r="AF245" s="123" t="str">
        <f t="shared" si="87"/>
        <v/>
      </c>
      <c r="AG245" s="123" t="str">
        <f t="shared" si="88"/>
        <v/>
      </c>
      <c r="AH245" s="115" t="str">
        <f t="shared" si="89"/>
        <v/>
      </c>
      <c r="AI245" s="115" t="str">
        <f t="shared" si="90"/>
        <v/>
      </c>
      <c r="AJ245" s="115" t="str">
        <f t="shared" si="91"/>
        <v/>
      </c>
      <c r="AK245" s="115" t="str">
        <f t="shared" si="92"/>
        <v/>
      </c>
      <c r="AL245" s="115" t="str">
        <f t="shared" si="93"/>
        <v/>
      </c>
      <c r="AM245" s="115" t="str">
        <f t="shared" si="94"/>
        <v/>
      </c>
      <c r="AN245" s="115" t="str">
        <f t="shared" si="95"/>
        <v/>
      </c>
      <c r="AO245" s="3"/>
      <c r="AP245" s="3"/>
      <c r="AQ245" s="3"/>
      <c r="AR245" s="3"/>
      <c r="AS245" s="3"/>
      <c r="AT245" s="3"/>
      <c r="AU245" s="3"/>
      <c r="AZ245" s="1"/>
      <c r="BA245" s="1"/>
      <c r="BB245" s="1"/>
      <c r="BC245" s="1"/>
      <c r="BD245" s="1"/>
      <c r="BE245" s="1"/>
      <c r="BF245" s="1"/>
    </row>
    <row r="246" spans="1:58">
      <c r="A246" s="109">
        <v>122</v>
      </c>
      <c r="B246" s="114" t="str">
        <f>VLOOKUP(A246,P_DIS!$B$32:$Q$263,12)</f>
        <v>-</v>
      </c>
      <c r="C246" s="114" t="str">
        <f>VLOOKUP(A246,P_DIS!$B$32:$Q$263,13)</f>
        <v>-</v>
      </c>
      <c r="D246" s="114" t="str">
        <f>VLOOKUP(A246,P_DIS!$B$32:$Q$263,15)</f>
        <v>-</v>
      </c>
      <c r="E246" s="114" t="str">
        <f>VLOOKUP(A246,P_DIS!$B$32:$Q$263,14)</f>
        <v>-</v>
      </c>
      <c r="F246" s="114">
        <f>VLOOKUP(A246,P_DIS!$B$32:$Q$263,10)</f>
        <v>0</v>
      </c>
      <c r="G246" s="114" t="str">
        <f>VLOOKUP(A246,P_DIS!$B$32:$Q$263,11)</f>
        <v>-</v>
      </c>
      <c r="H246" s="114" t="str">
        <f>VLOOKUP(A246,P_DIS!$B$32:$Q$263,16)</f>
        <v>-</v>
      </c>
      <c r="I246" s="115" t="str">
        <f t="shared" si="73"/>
        <v/>
      </c>
      <c r="J246" s="116" t="str">
        <f t="shared" si="74"/>
        <v/>
      </c>
      <c r="K246" s="117" t="str">
        <f t="shared" si="75"/>
        <v/>
      </c>
      <c r="L246" s="118" t="str">
        <f t="shared" si="76"/>
        <v/>
      </c>
      <c r="M246" s="118" t="str">
        <f t="shared" si="77"/>
        <v/>
      </c>
      <c r="N246" s="118" t="str">
        <f t="shared" si="78"/>
        <v/>
      </c>
      <c r="O246" s="118" t="str">
        <f t="shared" si="79"/>
        <v/>
      </c>
      <c r="P246" s="118" t="str">
        <f t="shared" si="80"/>
        <v/>
      </c>
      <c r="Q246" s="118" t="str">
        <f t="shared" si="81"/>
        <v/>
      </c>
      <c r="R246" s="118" t="str">
        <f t="shared" si="82"/>
        <v/>
      </c>
      <c r="S246" s="118" t="str">
        <f t="shared" si="83"/>
        <v/>
      </c>
      <c r="T246" s="119" t="str">
        <f t="shared" si="66"/>
        <v/>
      </c>
      <c r="U246" s="119" t="str">
        <f t="shared" si="67"/>
        <v/>
      </c>
      <c r="V246" s="120" t="str">
        <f t="shared" si="68"/>
        <v/>
      </c>
      <c r="W246" s="120" t="str">
        <f t="shared" si="69"/>
        <v/>
      </c>
      <c r="X246" s="120" t="str">
        <f t="shared" si="96"/>
        <v/>
      </c>
      <c r="Y246" s="121" t="str">
        <f t="shared" si="97"/>
        <v/>
      </c>
      <c r="Z246" s="121" t="str">
        <f t="shared" si="98"/>
        <v/>
      </c>
      <c r="AA246" s="122">
        <v>1</v>
      </c>
      <c r="AB246" s="123">
        <v>1</v>
      </c>
      <c r="AC246" s="123" t="str">
        <f t="shared" si="84"/>
        <v/>
      </c>
      <c r="AD246" s="123" t="str">
        <f t="shared" si="85"/>
        <v/>
      </c>
      <c r="AE246" s="123" t="str">
        <f t="shared" si="86"/>
        <v/>
      </c>
      <c r="AF246" s="123" t="str">
        <f t="shared" si="87"/>
        <v/>
      </c>
      <c r="AG246" s="123" t="str">
        <f t="shared" si="88"/>
        <v/>
      </c>
      <c r="AH246" s="115" t="str">
        <f t="shared" si="89"/>
        <v/>
      </c>
      <c r="AI246" s="115" t="str">
        <f t="shared" si="90"/>
        <v/>
      </c>
      <c r="AJ246" s="115" t="str">
        <f t="shared" si="91"/>
        <v/>
      </c>
      <c r="AK246" s="115" t="str">
        <f t="shared" si="92"/>
        <v/>
      </c>
      <c r="AL246" s="115" t="str">
        <f t="shared" si="93"/>
        <v/>
      </c>
      <c r="AM246" s="115" t="str">
        <f t="shared" si="94"/>
        <v/>
      </c>
      <c r="AN246" s="115" t="str">
        <f t="shared" si="95"/>
        <v/>
      </c>
      <c r="AO246" s="3"/>
      <c r="AP246" s="3"/>
      <c r="AQ246" s="3"/>
      <c r="AR246" s="3"/>
      <c r="AS246" s="3"/>
      <c r="AT246" s="3"/>
      <c r="AU246" s="3"/>
      <c r="AZ246" s="1"/>
      <c r="BA246" s="1"/>
      <c r="BB246" s="1"/>
      <c r="BC246" s="1"/>
      <c r="BD246" s="1"/>
      <c r="BE246" s="1"/>
      <c r="BF246" s="1"/>
    </row>
    <row r="247" spans="1:58">
      <c r="A247" s="109">
        <v>123</v>
      </c>
      <c r="B247" s="114" t="str">
        <f>VLOOKUP(A247,P_DIS!$B$32:$Q$263,12)</f>
        <v>-</v>
      </c>
      <c r="C247" s="114" t="str">
        <f>VLOOKUP(A247,P_DIS!$B$32:$Q$263,13)</f>
        <v>-</v>
      </c>
      <c r="D247" s="114" t="str">
        <f>VLOOKUP(A247,P_DIS!$B$32:$Q$263,15)</f>
        <v>-</v>
      </c>
      <c r="E247" s="114" t="str">
        <f>VLOOKUP(A247,P_DIS!$B$32:$Q$263,14)</f>
        <v>-</v>
      </c>
      <c r="F247" s="114">
        <f>VLOOKUP(A247,P_DIS!$B$32:$Q$263,10)</f>
        <v>0</v>
      </c>
      <c r="G247" s="114" t="str">
        <f>VLOOKUP(A247,P_DIS!$B$32:$Q$263,11)</f>
        <v>-</v>
      </c>
      <c r="H247" s="114" t="str">
        <f>VLOOKUP(A247,P_DIS!$B$32:$Q$263,16)</f>
        <v>-</v>
      </c>
      <c r="I247" s="115" t="str">
        <f t="shared" si="73"/>
        <v/>
      </c>
      <c r="J247" s="116" t="str">
        <f t="shared" si="74"/>
        <v/>
      </c>
      <c r="K247" s="117" t="str">
        <f t="shared" si="75"/>
        <v/>
      </c>
      <c r="L247" s="118" t="str">
        <f t="shared" si="76"/>
        <v/>
      </c>
      <c r="M247" s="118" t="str">
        <f t="shared" si="77"/>
        <v/>
      </c>
      <c r="N247" s="118" t="str">
        <f t="shared" si="78"/>
        <v/>
      </c>
      <c r="O247" s="118" t="str">
        <f t="shared" si="79"/>
        <v/>
      </c>
      <c r="P247" s="118" t="str">
        <f t="shared" si="80"/>
        <v/>
      </c>
      <c r="Q247" s="118" t="str">
        <f t="shared" si="81"/>
        <v/>
      </c>
      <c r="R247" s="118" t="str">
        <f t="shared" si="82"/>
        <v/>
      </c>
      <c r="S247" s="118" t="str">
        <f t="shared" si="83"/>
        <v/>
      </c>
      <c r="T247" s="119" t="str">
        <f t="shared" si="66"/>
        <v/>
      </c>
      <c r="U247" s="119" t="str">
        <f t="shared" si="67"/>
        <v/>
      </c>
      <c r="V247" s="120" t="str">
        <f t="shared" si="68"/>
        <v/>
      </c>
      <c r="W247" s="120" t="str">
        <f t="shared" si="69"/>
        <v/>
      </c>
      <c r="X247" s="120" t="str">
        <f t="shared" si="96"/>
        <v/>
      </c>
      <c r="Y247" s="121" t="str">
        <f t="shared" si="97"/>
        <v/>
      </c>
      <c r="Z247" s="121" t="str">
        <f t="shared" si="98"/>
        <v/>
      </c>
      <c r="AA247" s="122">
        <v>1</v>
      </c>
      <c r="AB247" s="123">
        <v>1</v>
      </c>
      <c r="AC247" s="123" t="str">
        <f t="shared" si="84"/>
        <v/>
      </c>
      <c r="AD247" s="123" t="str">
        <f t="shared" si="85"/>
        <v/>
      </c>
      <c r="AE247" s="123" t="str">
        <f t="shared" si="86"/>
        <v/>
      </c>
      <c r="AF247" s="123" t="str">
        <f t="shared" si="87"/>
        <v/>
      </c>
      <c r="AG247" s="123" t="str">
        <f t="shared" si="88"/>
        <v/>
      </c>
      <c r="AH247" s="115" t="str">
        <f t="shared" si="89"/>
        <v/>
      </c>
      <c r="AI247" s="115" t="str">
        <f t="shared" si="90"/>
        <v/>
      </c>
      <c r="AJ247" s="115" t="str">
        <f t="shared" si="91"/>
        <v/>
      </c>
      <c r="AK247" s="115" t="str">
        <f t="shared" si="92"/>
        <v/>
      </c>
      <c r="AL247" s="115" t="str">
        <f t="shared" si="93"/>
        <v/>
      </c>
      <c r="AM247" s="115" t="str">
        <f t="shared" si="94"/>
        <v/>
      </c>
      <c r="AN247" s="115" t="str">
        <f t="shared" si="95"/>
        <v/>
      </c>
      <c r="AO247" s="3"/>
      <c r="AP247" s="3"/>
      <c r="AQ247" s="3"/>
      <c r="AR247" s="3"/>
      <c r="AS247" s="3"/>
      <c r="AT247" s="3"/>
      <c r="AU247" s="3"/>
      <c r="AZ247" s="1"/>
      <c r="BA247" s="1"/>
      <c r="BB247" s="1"/>
      <c r="BC247" s="1"/>
      <c r="BD247" s="1"/>
      <c r="BE247" s="1"/>
      <c r="BF247" s="1"/>
    </row>
    <row r="248" spans="1:58">
      <c r="A248" s="109">
        <v>124</v>
      </c>
      <c r="B248" s="114" t="str">
        <f>VLOOKUP(A248,P_DIS!$B$32:$Q$263,12)</f>
        <v>-</v>
      </c>
      <c r="C248" s="114" t="str">
        <f>VLOOKUP(A248,P_DIS!$B$32:$Q$263,13)</f>
        <v>-</v>
      </c>
      <c r="D248" s="114" t="str">
        <f>VLOOKUP(A248,P_DIS!$B$32:$Q$263,15)</f>
        <v>-</v>
      </c>
      <c r="E248" s="114" t="str">
        <f>VLOOKUP(A248,P_DIS!$B$32:$Q$263,14)</f>
        <v>-</v>
      </c>
      <c r="F248" s="114">
        <f>VLOOKUP(A248,P_DIS!$B$32:$Q$263,10)</f>
        <v>0</v>
      </c>
      <c r="G248" s="114" t="str">
        <f>VLOOKUP(A248,P_DIS!$B$32:$Q$263,11)</f>
        <v>-</v>
      </c>
      <c r="H248" s="114" t="str">
        <f>VLOOKUP(A248,P_DIS!$B$32:$Q$263,16)</f>
        <v>-</v>
      </c>
      <c r="I248" s="115" t="str">
        <f t="shared" si="73"/>
        <v/>
      </c>
      <c r="J248" s="116" t="str">
        <f t="shared" si="74"/>
        <v/>
      </c>
      <c r="K248" s="117" t="str">
        <f t="shared" si="75"/>
        <v/>
      </c>
      <c r="L248" s="118" t="str">
        <f t="shared" si="76"/>
        <v/>
      </c>
      <c r="M248" s="118" t="str">
        <f t="shared" si="77"/>
        <v/>
      </c>
      <c r="N248" s="118" t="str">
        <f t="shared" si="78"/>
        <v/>
      </c>
      <c r="O248" s="118" t="str">
        <f t="shared" si="79"/>
        <v/>
      </c>
      <c r="P248" s="118" t="str">
        <f t="shared" si="80"/>
        <v/>
      </c>
      <c r="Q248" s="118" t="str">
        <f t="shared" si="81"/>
        <v/>
      </c>
      <c r="R248" s="118" t="str">
        <f t="shared" si="82"/>
        <v/>
      </c>
      <c r="S248" s="118" t="str">
        <f t="shared" si="83"/>
        <v/>
      </c>
      <c r="T248" s="119" t="str">
        <f t="shared" si="66"/>
        <v/>
      </c>
      <c r="U248" s="119" t="str">
        <f t="shared" si="67"/>
        <v/>
      </c>
      <c r="V248" s="120" t="str">
        <f t="shared" si="68"/>
        <v/>
      </c>
      <c r="W248" s="120" t="str">
        <f t="shared" si="69"/>
        <v/>
      </c>
      <c r="X248" s="120" t="str">
        <f t="shared" si="96"/>
        <v/>
      </c>
      <c r="Y248" s="121" t="str">
        <f t="shared" si="97"/>
        <v/>
      </c>
      <c r="Z248" s="121" t="str">
        <f t="shared" si="98"/>
        <v/>
      </c>
      <c r="AA248" s="122">
        <v>1</v>
      </c>
      <c r="AB248" s="123">
        <v>1</v>
      </c>
      <c r="AC248" s="123" t="str">
        <f t="shared" si="84"/>
        <v/>
      </c>
      <c r="AD248" s="123" t="str">
        <f t="shared" si="85"/>
        <v/>
      </c>
      <c r="AE248" s="123" t="str">
        <f t="shared" si="86"/>
        <v/>
      </c>
      <c r="AF248" s="123" t="str">
        <f t="shared" si="87"/>
        <v/>
      </c>
      <c r="AG248" s="123" t="str">
        <f t="shared" si="88"/>
        <v/>
      </c>
      <c r="AH248" s="115" t="str">
        <f t="shared" si="89"/>
        <v/>
      </c>
      <c r="AI248" s="115" t="str">
        <f t="shared" si="90"/>
        <v/>
      </c>
      <c r="AJ248" s="115" t="str">
        <f t="shared" si="91"/>
        <v/>
      </c>
      <c r="AK248" s="115" t="str">
        <f t="shared" si="92"/>
        <v/>
      </c>
      <c r="AL248" s="115" t="str">
        <f t="shared" si="93"/>
        <v/>
      </c>
      <c r="AM248" s="115" t="str">
        <f t="shared" si="94"/>
        <v/>
      </c>
      <c r="AN248" s="115" t="str">
        <f t="shared" si="95"/>
        <v/>
      </c>
      <c r="AO248" s="3"/>
      <c r="AP248" s="3"/>
      <c r="AQ248" s="3"/>
      <c r="AR248" s="3"/>
      <c r="AS248" s="3"/>
      <c r="AT248" s="3"/>
      <c r="AU248" s="3"/>
      <c r="AZ248" s="1"/>
      <c r="BA248" s="1"/>
      <c r="BB248" s="1"/>
      <c r="BC248" s="1"/>
      <c r="BD248" s="1"/>
      <c r="BE248" s="1"/>
      <c r="BF248" s="1"/>
    </row>
    <row r="249" spans="1:58">
      <c r="A249" s="109">
        <v>125</v>
      </c>
      <c r="B249" s="114" t="str">
        <f>VLOOKUP(A249,P_DIS!$B$32:$Q$263,12)</f>
        <v>-</v>
      </c>
      <c r="C249" s="114" t="str">
        <f>VLOOKUP(A249,P_DIS!$B$32:$Q$263,13)</f>
        <v>-</v>
      </c>
      <c r="D249" s="114" t="str">
        <f>VLOOKUP(A249,P_DIS!$B$32:$Q$263,15)</f>
        <v>-</v>
      </c>
      <c r="E249" s="114" t="str">
        <f>VLOOKUP(A249,P_DIS!$B$32:$Q$263,14)</f>
        <v>-</v>
      </c>
      <c r="F249" s="114">
        <f>VLOOKUP(A249,P_DIS!$B$32:$Q$263,10)</f>
        <v>0</v>
      </c>
      <c r="G249" s="114" t="str">
        <f>VLOOKUP(A249,P_DIS!$B$32:$Q$263,11)</f>
        <v>-</v>
      </c>
      <c r="H249" s="114" t="str">
        <f>VLOOKUP(A249,P_DIS!$B$32:$Q$263,16)</f>
        <v>-</v>
      </c>
      <c r="I249" s="115" t="str">
        <f t="shared" si="73"/>
        <v/>
      </c>
      <c r="J249" s="116" t="str">
        <f t="shared" si="74"/>
        <v/>
      </c>
      <c r="K249" s="117" t="str">
        <f t="shared" si="75"/>
        <v/>
      </c>
      <c r="L249" s="118" t="str">
        <f t="shared" si="76"/>
        <v/>
      </c>
      <c r="M249" s="118" t="str">
        <f t="shared" si="77"/>
        <v/>
      </c>
      <c r="N249" s="118" t="str">
        <f t="shared" si="78"/>
        <v/>
      </c>
      <c r="O249" s="118" t="str">
        <f t="shared" si="79"/>
        <v/>
      </c>
      <c r="P249" s="118" t="str">
        <f t="shared" si="80"/>
        <v/>
      </c>
      <c r="Q249" s="118" t="str">
        <f t="shared" si="81"/>
        <v/>
      </c>
      <c r="R249" s="118" t="str">
        <f t="shared" si="82"/>
        <v/>
      </c>
      <c r="S249" s="118" t="str">
        <f t="shared" si="83"/>
        <v/>
      </c>
      <c r="T249" s="119" t="str">
        <f t="shared" si="66"/>
        <v/>
      </c>
      <c r="U249" s="119" t="str">
        <f t="shared" si="67"/>
        <v/>
      </c>
      <c r="V249" s="120" t="str">
        <f t="shared" si="68"/>
        <v/>
      </c>
      <c r="W249" s="120" t="str">
        <f t="shared" si="69"/>
        <v/>
      </c>
      <c r="X249" s="120" t="str">
        <f t="shared" si="96"/>
        <v/>
      </c>
      <c r="Y249" s="121" t="str">
        <f t="shared" si="97"/>
        <v/>
      </c>
      <c r="Z249" s="121" t="str">
        <f t="shared" si="98"/>
        <v/>
      </c>
      <c r="AA249" s="122">
        <v>1</v>
      </c>
      <c r="AB249" s="123">
        <v>1</v>
      </c>
      <c r="AC249" s="123" t="str">
        <f t="shared" si="84"/>
        <v/>
      </c>
      <c r="AD249" s="123" t="str">
        <f t="shared" si="85"/>
        <v/>
      </c>
      <c r="AE249" s="123" t="str">
        <f t="shared" si="86"/>
        <v/>
      </c>
      <c r="AF249" s="123" t="str">
        <f t="shared" si="87"/>
        <v/>
      </c>
      <c r="AG249" s="123" t="str">
        <f t="shared" si="88"/>
        <v/>
      </c>
      <c r="AH249" s="115" t="str">
        <f t="shared" si="89"/>
        <v/>
      </c>
      <c r="AI249" s="115" t="str">
        <f t="shared" si="90"/>
        <v/>
      </c>
      <c r="AJ249" s="115" t="str">
        <f t="shared" si="91"/>
        <v/>
      </c>
      <c r="AK249" s="115" t="str">
        <f t="shared" si="92"/>
        <v/>
      </c>
      <c r="AL249" s="115" t="str">
        <f t="shared" si="93"/>
        <v/>
      </c>
      <c r="AM249" s="115" t="str">
        <f t="shared" si="94"/>
        <v/>
      </c>
      <c r="AN249" s="115" t="str">
        <f t="shared" si="95"/>
        <v/>
      </c>
      <c r="AO249" s="3"/>
      <c r="AP249" s="3"/>
      <c r="AQ249" s="3"/>
      <c r="AR249" s="3"/>
      <c r="AS249" s="3"/>
      <c r="AT249" s="3"/>
      <c r="AU249" s="3"/>
      <c r="AZ249" s="1"/>
      <c r="BA249" s="1"/>
      <c r="BB249" s="1"/>
      <c r="BC249" s="1"/>
      <c r="BD249" s="1"/>
      <c r="BE249" s="1"/>
      <c r="BF249" s="1"/>
    </row>
    <row r="250" spans="1:58">
      <c r="A250" s="109">
        <v>126</v>
      </c>
      <c r="B250" s="114" t="str">
        <f>VLOOKUP(A250,P_DIS!$B$32:$Q$263,12)</f>
        <v>-</v>
      </c>
      <c r="C250" s="114" t="str">
        <f>VLOOKUP(A250,P_DIS!$B$32:$Q$263,13)</f>
        <v>-</v>
      </c>
      <c r="D250" s="114" t="str">
        <f>VLOOKUP(A250,P_DIS!$B$32:$Q$263,15)</f>
        <v>-</v>
      </c>
      <c r="E250" s="114" t="str">
        <f>VLOOKUP(A250,P_DIS!$B$32:$Q$263,14)</f>
        <v>-</v>
      </c>
      <c r="F250" s="114">
        <f>VLOOKUP(A250,P_DIS!$B$32:$Q$263,10)</f>
        <v>0</v>
      </c>
      <c r="G250" s="114" t="str">
        <f>VLOOKUP(A250,P_DIS!$B$32:$Q$263,11)</f>
        <v>-</v>
      </c>
      <c r="H250" s="114" t="str">
        <f>VLOOKUP(A250,P_DIS!$B$32:$Q$263,16)</f>
        <v>-</v>
      </c>
      <c r="I250" s="115" t="str">
        <f t="shared" si="73"/>
        <v/>
      </c>
      <c r="J250" s="116" t="str">
        <f t="shared" si="74"/>
        <v/>
      </c>
      <c r="K250" s="117" t="str">
        <f t="shared" si="75"/>
        <v/>
      </c>
      <c r="L250" s="118" t="str">
        <f t="shared" si="76"/>
        <v/>
      </c>
      <c r="M250" s="118" t="str">
        <f t="shared" si="77"/>
        <v/>
      </c>
      <c r="N250" s="118" t="str">
        <f t="shared" si="78"/>
        <v/>
      </c>
      <c r="O250" s="118" t="str">
        <f t="shared" si="79"/>
        <v/>
      </c>
      <c r="P250" s="118" t="str">
        <f t="shared" si="80"/>
        <v/>
      </c>
      <c r="Q250" s="118" t="str">
        <f t="shared" si="81"/>
        <v/>
      </c>
      <c r="R250" s="118" t="str">
        <f t="shared" si="82"/>
        <v/>
      </c>
      <c r="S250" s="118" t="str">
        <f t="shared" si="83"/>
        <v/>
      </c>
      <c r="T250" s="119" t="str">
        <f t="shared" si="66"/>
        <v/>
      </c>
      <c r="U250" s="119" t="str">
        <f t="shared" si="67"/>
        <v/>
      </c>
      <c r="V250" s="120" t="str">
        <f t="shared" si="68"/>
        <v/>
      </c>
      <c r="W250" s="120" t="str">
        <f t="shared" si="69"/>
        <v/>
      </c>
      <c r="X250" s="120" t="str">
        <f t="shared" si="96"/>
        <v/>
      </c>
      <c r="Y250" s="121" t="str">
        <f t="shared" si="97"/>
        <v/>
      </c>
      <c r="Z250" s="121" t="str">
        <f t="shared" si="98"/>
        <v/>
      </c>
      <c r="AA250" s="122">
        <v>1</v>
      </c>
      <c r="AB250" s="123">
        <v>1</v>
      </c>
      <c r="AC250" s="123" t="str">
        <f t="shared" si="84"/>
        <v/>
      </c>
      <c r="AD250" s="123" t="str">
        <f t="shared" si="85"/>
        <v/>
      </c>
      <c r="AE250" s="123" t="str">
        <f t="shared" si="86"/>
        <v/>
      </c>
      <c r="AF250" s="123" t="str">
        <f t="shared" si="87"/>
        <v/>
      </c>
      <c r="AG250" s="123" t="str">
        <f t="shared" si="88"/>
        <v/>
      </c>
      <c r="AH250" s="115" t="str">
        <f t="shared" si="89"/>
        <v/>
      </c>
      <c r="AI250" s="115" t="str">
        <f t="shared" si="90"/>
        <v/>
      </c>
      <c r="AJ250" s="115" t="str">
        <f t="shared" si="91"/>
        <v/>
      </c>
      <c r="AK250" s="115" t="str">
        <f t="shared" si="92"/>
        <v/>
      </c>
      <c r="AL250" s="115" t="str">
        <f t="shared" si="93"/>
        <v/>
      </c>
      <c r="AM250" s="115" t="str">
        <f t="shared" si="94"/>
        <v/>
      </c>
      <c r="AN250" s="115" t="str">
        <f t="shared" si="95"/>
        <v/>
      </c>
      <c r="AO250" s="3"/>
      <c r="AP250" s="3"/>
      <c r="AQ250" s="3"/>
      <c r="AR250" s="3"/>
      <c r="AS250" s="3"/>
      <c r="AT250" s="3"/>
      <c r="AU250" s="3"/>
      <c r="AZ250" s="1"/>
      <c r="BA250" s="1"/>
      <c r="BB250" s="1"/>
      <c r="BC250" s="1"/>
      <c r="BD250" s="1"/>
      <c r="BE250" s="1"/>
      <c r="BF250" s="1"/>
    </row>
    <row r="251" spans="1:58">
      <c r="A251" s="109">
        <v>127</v>
      </c>
      <c r="B251" s="114" t="str">
        <f>VLOOKUP(A251,P_DIS!$B$32:$Q$263,12)</f>
        <v>-</v>
      </c>
      <c r="C251" s="114" t="str">
        <f>VLOOKUP(A251,P_DIS!$B$32:$Q$263,13)</f>
        <v>-</v>
      </c>
      <c r="D251" s="114" t="str">
        <f>VLOOKUP(A251,P_DIS!$B$32:$Q$263,15)</f>
        <v>-</v>
      </c>
      <c r="E251" s="114" t="str">
        <f>VLOOKUP(A251,P_DIS!$B$32:$Q$263,14)</f>
        <v>-</v>
      </c>
      <c r="F251" s="114">
        <f>VLOOKUP(A251,P_DIS!$B$32:$Q$263,10)</f>
        <v>0</v>
      </c>
      <c r="G251" s="114" t="str">
        <f>VLOOKUP(A251,P_DIS!$B$32:$Q$263,11)</f>
        <v>-</v>
      </c>
      <c r="H251" s="114" t="str">
        <f>VLOOKUP(A251,P_DIS!$B$32:$Q$263,16)</f>
        <v>-</v>
      </c>
      <c r="I251" s="115" t="str">
        <f t="shared" si="73"/>
        <v/>
      </c>
      <c r="J251" s="116" t="str">
        <f t="shared" si="74"/>
        <v/>
      </c>
      <c r="K251" s="117" t="str">
        <f t="shared" si="75"/>
        <v/>
      </c>
      <c r="L251" s="118" t="str">
        <f t="shared" si="76"/>
        <v/>
      </c>
      <c r="M251" s="118" t="str">
        <f t="shared" si="77"/>
        <v/>
      </c>
      <c r="N251" s="118" t="str">
        <f t="shared" si="78"/>
        <v/>
      </c>
      <c r="O251" s="118" t="str">
        <f t="shared" si="79"/>
        <v/>
      </c>
      <c r="P251" s="118" t="str">
        <f t="shared" si="80"/>
        <v/>
      </c>
      <c r="Q251" s="118" t="str">
        <f t="shared" si="81"/>
        <v/>
      </c>
      <c r="R251" s="118" t="str">
        <f t="shared" si="82"/>
        <v/>
      </c>
      <c r="S251" s="118" t="str">
        <f t="shared" si="83"/>
        <v/>
      </c>
      <c r="T251" s="119" t="str">
        <f t="shared" si="66"/>
        <v/>
      </c>
      <c r="U251" s="119" t="str">
        <f t="shared" si="67"/>
        <v/>
      </c>
      <c r="V251" s="120" t="str">
        <f t="shared" si="68"/>
        <v/>
      </c>
      <c r="W251" s="120" t="str">
        <f t="shared" si="69"/>
        <v/>
      </c>
      <c r="X251" s="120" t="str">
        <f t="shared" si="96"/>
        <v/>
      </c>
      <c r="Y251" s="121" t="str">
        <f t="shared" si="97"/>
        <v/>
      </c>
      <c r="Z251" s="121" t="str">
        <f t="shared" si="98"/>
        <v/>
      </c>
      <c r="AA251" s="122">
        <v>1</v>
      </c>
      <c r="AB251" s="123">
        <v>1</v>
      </c>
      <c r="AC251" s="123" t="str">
        <f t="shared" si="84"/>
        <v/>
      </c>
      <c r="AD251" s="123" t="str">
        <f t="shared" si="85"/>
        <v/>
      </c>
      <c r="AE251" s="123" t="str">
        <f t="shared" si="86"/>
        <v/>
      </c>
      <c r="AF251" s="123" t="str">
        <f t="shared" si="87"/>
        <v/>
      </c>
      <c r="AG251" s="123" t="str">
        <f t="shared" si="88"/>
        <v/>
      </c>
      <c r="AH251" s="115" t="str">
        <f t="shared" si="89"/>
        <v/>
      </c>
      <c r="AI251" s="115" t="str">
        <f t="shared" si="90"/>
        <v/>
      </c>
      <c r="AJ251" s="115" t="str">
        <f t="shared" si="91"/>
        <v/>
      </c>
      <c r="AK251" s="115" t="str">
        <f t="shared" si="92"/>
        <v/>
      </c>
      <c r="AL251" s="115" t="str">
        <f t="shared" si="93"/>
        <v/>
      </c>
      <c r="AM251" s="115" t="str">
        <f t="shared" si="94"/>
        <v/>
      </c>
      <c r="AN251" s="115" t="str">
        <f t="shared" si="95"/>
        <v/>
      </c>
      <c r="AO251" s="3"/>
      <c r="AP251" s="3"/>
      <c r="AQ251" s="3"/>
      <c r="AR251" s="3"/>
      <c r="AS251" s="3"/>
      <c r="AT251" s="3"/>
      <c r="AU251" s="3"/>
      <c r="AZ251" s="1"/>
      <c r="BA251" s="1"/>
      <c r="BB251" s="1"/>
      <c r="BC251" s="1"/>
      <c r="BD251" s="1"/>
      <c r="BE251" s="1"/>
      <c r="BF251" s="1"/>
    </row>
    <row r="252" spans="1:58">
      <c r="A252" s="109">
        <v>128</v>
      </c>
      <c r="B252" s="114" t="str">
        <f>VLOOKUP(A252,P_DIS!$B$32:$Q$263,12)</f>
        <v>-</v>
      </c>
      <c r="C252" s="114" t="str">
        <f>VLOOKUP(A252,P_DIS!$B$32:$Q$263,13)</f>
        <v>-</v>
      </c>
      <c r="D252" s="114" t="str">
        <f>VLOOKUP(A252,P_DIS!$B$32:$Q$263,15)</f>
        <v>-</v>
      </c>
      <c r="E252" s="114" t="str">
        <f>VLOOKUP(A252,P_DIS!$B$32:$Q$263,14)</f>
        <v>-</v>
      </c>
      <c r="F252" s="114">
        <f>VLOOKUP(A252,P_DIS!$B$32:$Q$263,10)</f>
        <v>0</v>
      </c>
      <c r="G252" s="114" t="str">
        <f>VLOOKUP(A252,P_DIS!$B$32:$Q$263,11)</f>
        <v>-</v>
      </c>
      <c r="H252" s="114" t="str">
        <f>VLOOKUP(A252,P_DIS!$B$32:$Q$263,16)</f>
        <v>-</v>
      </c>
      <c r="I252" s="115" t="str">
        <f t="shared" si="73"/>
        <v/>
      </c>
      <c r="J252" s="116" t="str">
        <f t="shared" si="74"/>
        <v/>
      </c>
      <c r="K252" s="117" t="str">
        <f t="shared" si="75"/>
        <v/>
      </c>
      <c r="L252" s="118" t="str">
        <f t="shared" si="76"/>
        <v/>
      </c>
      <c r="M252" s="118" t="str">
        <f t="shared" si="77"/>
        <v/>
      </c>
      <c r="N252" s="118" t="str">
        <f t="shared" si="78"/>
        <v/>
      </c>
      <c r="O252" s="118" t="str">
        <f t="shared" si="79"/>
        <v/>
      </c>
      <c r="P252" s="118" t="str">
        <f t="shared" si="80"/>
        <v/>
      </c>
      <c r="Q252" s="118" t="str">
        <f t="shared" si="81"/>
        <v/>
      </c>
      <c r="R252" s="118" t="str">
        <f t="shared" si="82"/>
        <v/>
      </c>
      <c r="S252" s="118" t="str">
        <f t="shared" si="83"/>
        <v/>
      </c>
      <c r="T252" s="119" t="str">
        <f t="shared" si="66"/>
        <v/>
      </c>
      <c r="U252" s="119" t="str">
        <f t="shared" si="67"/>
        <v/>
      </c>
      <c r="V252" s="120" t="str">
        <f t="shared" si="68"/>
        <v/>
      </c>
      <c r="W252" s="120" t="str">
        <f t="shared" si="69"/>
        <v/>
      </c>
      <c r="X252" s="120" t="str">
        <f t="shared" si="96"/>
        <v/>
      </c>
      <c r="Y252" s="121" t="str">
        <f t="shared" si="97"/>
        <v/>
      </c>
      <c r="Z252" s="121" t="str">
        <f t="shared" si="98"/>
        <v/>
      </c>
      <c r="AA252" s="122">
        <v>1</v>
      </c>
      <c r="AB252" s="123">
        <v>1</v>
      </c>
      <c r="AC252" s="123" t="str">
        <f t="shared" si="84"/>
        <v/>
      </c>
      <c r="AD252" s="123" t="str">
        <f t="shared" si="85"/>
        <v/>
      </c>
      <c r="AE252" s="123" t="str">
        <f t="shared" si="86"/>
        <v/>
      </c>
      <c r="AF252" s="123" t="str">
        <f t="shared" si="87"/>
        <v/>
      </c>
      <c r="AG252" s="123" t="str">
        <f t="shared" si="88"/>
        <v/>
      </c>
      <c r="AH252" s="115" t="str">
        <f t="shared" si="89"/>
        <v/>
      </c>
      <c r="AI252" s="115" t="str">
        <f t="shared" si="90"/>
        <v/>
      </c>
      <c r="AJ252" s="115" t="str">
        <f t="shared" si="91"/>
        <v/>
      </c>
      <c r="AK252" s="115" t="str">
        <f t="shared" si="92"/>
        <v/>
      </c>
      <c r="AL252" s="115" t="str">
        <f t="shared" si="93"/>
        <v/>
      </c>
      <c r="AM252" s="115" t="str">
        <f t="shared" si="94"/>
        <v/>
      </c>
      <c r="AN252" s="115" t="str">
        <f t="shared" si="95"/>
        <v/>
      </c>
      <c r="AO252" s="3"/>
      <c r="AP252" s="3"/>
      <c r="AQ252" s="3"/>
      <c r="AR252" s="3"/>
      <c r="AS252" s="3"/>
      <c r="AT252" s="3"/>
      <c r="AU252" s="3"/>
      <c r="AZ252" s="1"/>
      <c r="BA252" s="1"/>
      <c r="BB252" s="1"/>
      <c r="BC252" s="1"/>
      <c r="BD252" s="1"/>
      <c r="BE252" s="1"/>
      <c r="BF252" s="1"/>
    </row>
    <row r="253" spans="1:58">
      <c r="A253" s="109">
        <v>129</v>
      </c>
      <c r="B253" s="114" t="str">
        <f>VLOOKUP(A253,P_DIS!$B$32:$Q$263,12)</f>
        <v>-</v>
      </c>
      <c r="C253" s="114" t="str">
        <f>VLOOKUP(A253,P_DIS!$B$32:$Q$263,13)</f>
        <v>-</v>
      </c>
      <c r="D253" s="114" t="str">
        <f>VLOOKUP(A253,P_DIS!$B$32:$Q$263,15)</f>
        <v>-</v>
      </c>
      <c r="E253" s="114" t="str">
        <f>VLOOKUP(A253,P_DIS!$B$32:$Q$263,14)</f>
        <v>-</v>
      </c>
      <c r="F253" s="114">
        <f>VLOOKUP(A253,P_DIS!$B$32:$Q$263,10)</f>
        <v>0</v>
      </c>
      <c r="G253" s="114" t="str">
        <f>VLOOKUP(A253,P_DIS!$B$32:$Q$263,11)</f>
        <v>-</v>
      </c>
      <c r="H253" s="114" t="str">
        <f>VLOOKUP(A253,P_DIS!$B$32:$Q$263,16)</f>
        <v>-</v>
      </c>
      <c r="I253" s="115" t="str">
        <f t="shared" si="73"/>
        <v/>
      </c>
      <c r="J253" s="116" t="str">
        <f t="shared" si="74"/>
        <v/>
      </c>
      <c r="K253" s="117" t="str">
        <f t="shared" si="75"/>
        <v/>
      </c>
      <c r="L253" s="118" t="str">
        <f t="shared" si="76"/>
        <v/>
      </c>
      <c r="M253" s="118" t="str">
        <f t="shared" si="77"/>
        <v/>
      </c>
      <c r="N253" s="118" t="str">
        <f t="shared" si="78"/>
        <v/>
      </c>
      <c r="O253" s="118" t="str">
        <f t="shared" si="79"/>
        <v/>
      </c>
      <c r="P253" s="118" t="str">
        <f t="shared" si="80"/>
        <v/>
      </c>
      <c r="Q253" s="118" t="str">
        <f t="shared" si="81"/>
        <v/>
      </c>
      <c r="R253" s="118" t="str">
        <f t="shared" si="82"/>
        <v/>
      </c>
      <c r="S253" s="118" t="str">
        <f t="shared" si="83"/>
        <v/>
      </c>
      <c r="T253" s="119" t="str">
        <f t="shared" ref="T253:T316" si="99">IF(H253="-","",$Q$28*POWER(H253,2)+$Q$29*H253+$Q$30)</f>
        <v/>
      </c>
      <c r="U253" s="119" t="str">
        <f t="shared" ref="U253:U316" si="100">IF(H253="-","",$Q$55*POWER(H253,2)+$Q$56*H253+$Q$57)</f>
        <v/>
      </c>
      <c r="V253" s="120" t="str">
        <f t="shared" ref="V253:V316" si="101">IF(H253="-","",$L$77*SQRT($L$78+((POWER(F253-$H$77,2)/$L$79))))</f>
        <v/>
      </c>
      <c r="W253" s="120" t="str">
        <f t="shared" ref="W253:W316" si="102">IF(H253="-","",$G$99)</f>
        <v/>
      </c>
      <c r="X253" s="120" t="str">
        <f t="shared" ref="X253:X284" si="103">IF(H253="-","",SQRT($D$88+($D$89*POWER(B253,2))))</f>
        <v/>
      </c>
      <c r="Y253" s="121" t="str">
        <f t="shared" ref="Y253:Y284" si="104">IF(H253="-","",$D$109)</f>
        <v/>
      </c>
      <c r="Z253" s="121" t="str">
        <f t="shared" ref="Z253:Z284" si="105">IF(H253="-","",$G$118)</f>
        <v/>
      </c>
      <c r="AA253" s="122">
        <v>1</v>
      </c>
      <c r="AB253" s="123">
        <v>1</v>
      </c>
      <c r="AC253" s="123" t="str">
        <f t="shared" si="84"/>
        <v/>
      </c>
      <c r="AD253" s="123" t="str">
        <f t="shared" si="85"/>
        <v/>
      </c>
      <c r="AE253" s="123" t="str">
        <f t="shared" si="86"/>
        <v/>
      </c>
      <c r="AF253" s="123" t="str">
        <f t="shared" si="87"/>
        <v/>
      </c>
      <c r="AG253" s="123" t="str">
        <f t="shared" si="88"/>
        <v/>
      </c>
      <c r="AH253" s="115" t="str">
        <f t="shared" si="89"/>
        <v/>
      </c>
      <c r="AI253" s="115" t="str">
        <f t="shared" si="90"/>
        <v/>
      </c>
      <c r="AJ253" s="115" t="str">
        <f t="shared" si="91"/>
        <v/>
      </c>
      <c r="AK253" s="115" t="str">
        <f t="shared" si="92"/>
        <v/>
      </c>
      <c r="AL253" s="115" t="str">
        <f t="shared" si="93"/>
        <v/>
      </c>
      <c r="AM253" s="115" t="str">
        <f t="shared" si="94"/>
        <v/>
      </c>
      <c r="AN253" s="115" t="str">
        <f t="shared" si="95"/>
        <v/>
      </c>
      <c r="AO253" s="3"/>
      <c r="AP253" s="3"/>
      <c r="AQ253" s="3"/>
      <c r="AR253" s="3"/>
      <c r="AS253" s="3"/>
      <c r="AT253" s="3"/>
      <c r="AU253" s="3"/>
      <c r="AZ253" s="1"/>
      <c r="BA253" s="1"/>
      <c r="BB253" s="1"/>
      <c r="BC253" s="1"/>
      <c r="BD253" s="1"/>
      <c r="BE253" s="1"/>
      <c r="BF253" s="1"/>
    </row>
    <row r="254" spans="1:58">
      <c r="A254" s="109">
        <v>130</v>
      </c>
      <c r="B254" s="114" t="str">
        <f>VLOOKUP(A254,P_DIS!$B$32:$Q$263,12)</f>
        <v>-</v>
      </c>
      <c r="C254" s="114" t="str">
        <f>VLOOKUP(A254,P_DIS!$B$32:$Q$263,13)</f>
        <v>-</v>
      </c>
      <c r="D254" s="114" t="str">
        <f>VLOOKUP(A254,P_DIS!$B$32:$Q$263,15)</f>
        <v>-</v>
      </c>
      <c r="E254" s="114" t="str">
        <f>VLOOKUP(A254,P_DIS!$B$32:$Q$263,14)</f>
        <v>-</v>
      </c>
      <c r="F254" s="114">
        <f>VLOOKUP(A254,P_DIS!$B$32:$Q$263,10)</f>
        <v>0</v>
      </c>
      <c r="G254" s="114" t="str">
        <f>VLOOKUP(A254,P_DIS!$B$32:$Q$263,11)</f>
        <v>-</v>
      </c>
      <c r="H254" s="114" t="str">
        <f>VLOOKUP(A254,P_DIS!$B$32:$Q$263,16)</f>
        <v>-</v>
      </c>
      <c r="I254" s="115" t="str">
        <f t="shared" ref="I254:I317" si="106">IF(H254="-","",SUM(AH254:AN254))</f>
        <v/>
      </c>
      <c r="J254" s="116" t="str">
        <f t="shared" ref="J254:J317" si="107">IF(H254="-","",SQRT(I254))</f>
        <v/>
      </c>
      <c r="K254" s="117" t="str">
        <f t="shared" ref="K254:K317" si="108">IF(H254="-","",J254*$K$122)</f>
        <v/>
      </c>
      <c r="L254" s="118" t="str">
        <f t="shared" ref="L254:L317" si="109">IF(H254="-","",AH254/I254)</f>
        <v/>
      </c>
      <c r="M254" s="118" t="str">
        <f t="shared" ref="M254:M317" si="110">IF(H254="-","",AI254/I254)</f>
        <v/>
      </c>
      <c r="N254" s="118" t="str">
        <f t="shared" ref="N254:N317" si="111">IF(H254="-","",AJ254/I254)</f>
        <v/>
      </c>
      <c r="O254" s="118" t="str">
        <f t="shared" ref="O254:O317" si="112">IF(H254="-","",AK254/I254)</f>
        <v/>
      </c>
      <c r="P254" s="118" t="str">
        <f t="shared" ref="P254:P317" si="113">IF(H254="-","",AL254/I254)</f>
        <v/>
      </c>
      <c r="Q254" s="118" t="str">
        <f t="shared" ref="Q254:Q317" si="114">IF(H254="-","",AM254/I254)</f>
        <v/>
      </c>
      <c r="R254" s="118" t="str">
        <f t="shared" ref="R254:R317" si="115">IF(H254="-","",AN254/I254)</f>
        <v/>
      </c>
      <c r="S254" s="118" t="str">
        <f t="shared" ref="S254:S317" si="116">IF(H254="-","",SUM(L254:R254))</f>
        <v/>
      </c>
      <c r="T254" s="119" t="str">
        <f t="shared" si="99"/>
        <v/>
      </c>
      <c r="U254" s="119" t="str">
        <f t="shared" si="100"/>
        <v/>
      </c>
      <c r="V254" s="120" t="str">
        <f t="shared" si="101"/>
        <v/>
      </c>
      <c r="W254" s="120" t="str">
        <f t="shared" si="102"/>
        <v/>
      </c>
      <c r="X254" s="120" t="str">
        <f t="shared" si="103"/>
        <v/>
      </c>
      <c r="Y254" s="121" t="str">
        <f t="shared" si="104"/>
        <v/>
      </c>
      <c r="Z254" s="121" t="str">
        <f t="shared" si="105"/>
        <v/>
      </c>
      <c r="AA254" s="122">
        <v>1</v>
      </c>
      <c r="AB254" s="123">
        <v>1</v>
      </c>
      <c r="AC254" s="123" t="str">
        <f t="shared" ref="AC254:AC317" si="117">IF(H254="-","",(C254/B254)*(E254/D254))</f>
        <v/>
      </c>
      <c r="AD254" s="123" t="str">
        <f t="shared" ref="AD254:AD317" si="118">IF(H254="-","",G254*(1/B254)*(E254/D254))</f>
        <v/>
      </c>
      <c r="AE254" s="123" t="str">
        <f t="shared" ref="AE254:AE317" si="119">IF(H254="-","",-G254*(C254/POWER(B254,2))*(E254/D254))</f>
        <v/>
      </c>
      <c r="AF254" s="123" t="str">
        <f t="shared" ref="AF254:AF317" si="120">IF(H254="-","",G254*(C254/B254)*(1/D254))</f>
        <v/>
      </c>
      <c r="AG254" s="123" t="str">
        <f t="shared" ref="AG254:AG317" si="121">IF(H254="-","",-G254*(C254/B254)*(E254/POWER(D254,2)))</f>
        <v/>
      </c>
      <c r="AH254" s="115" t="str">
        <f t="shared" ref="AH254:AH317" si="122">IF(H254="-","",POWER(AA254*T254,2))</f>
        <v/>
      </c>
      <c r="AI254" s="115" t="str">
        <f t="shared" ref="AI254:AI317" si="123">IF(H254="-","",POWER(AB254*U254,2))</f>
        <v/>
      </c>
      <c r="AJ254" s="115" t="str">
        <f t="shared" ref="AJ254:AJ317" si="124">IF(H254="-","",POWER(AC254*V254,2))</f>
        <v/>
      </c>
      <c r="AK254" s="115" t="str">
        <f t="shared" ref="AK254:AK317" si="125">IF(H254="-","",POWER(AD254*W254,2))</f>
        <v/>
      </c>
      <c r="AL254" s="115" t="str">
        <f t="shared" ref="AL254:AL317" si="126">IF(H254="-","",POWER(AE254*X254,2))</f>
        <v/>
      </c>
      <c r="AM254" s="115" t="str">
        <f t="shared" ref="AM254:AM317" si="127">IF(H254="-","",POWER(AF254*Y254,2))</f>
        <v/>
      </c>
      <c r="AN254" s="115" t="str">
        <f t="shared" ref="AN254:AN317" si="128">IF(H254="-","",POWER(AG254*Z254,2))</f>
        <v/>
      </c>
      <c r="AO254" s="3"/>
      <c r="AP254" s="3"/>
      <c r="AQ254" s="3"/>
      <c r="AR254" s="3"/>
      <c r="AS254" s="3"/>
      <c r="AT254" s="3"/>
      <c r="AU254" s="3"/>
      <c r="AZ254" s="1"/>
      <c r="BA254" s="1"/>
      <c r="BB254" s="1"/>
      <c r="BC254" s="1"/>
      <c r="BD254" s="1"/>
      <c r="BE254" s="1"/>
      <c r="BF254" s="1"/>
    </row>
    <row r="255" spans="1:58">
      <c r="A255" s="109">
        <v>131</v>
      </c>
      <c r="B255" s="114" t="str">
        <f>VLOOKUP(A255,P_DIS!$B$32:$Q$263,12)</f>
        <v>-</v>
      </c>
      <c r="C255" s="114" t="str">
        <f>VLOOKUP(A255,P_DIS!$B$32:$Q$263,13)</f>
        <v>-</v>
      </c>
      <c r="D255" s="114" t="str">
        <f>VLOOKUP(A255,P_DIS!$B$32:$Q$263,15)</f>
        <v>-</v>
      </c>
      <c r="E255" s="114" t="str">
        <f>VLOOKUP(A255,P_DIS!$B$32:$Q$263,14)</f>
        <v>-</v>
      </c>
      <c r="F255" s="114">
        <f>VLOOKUP(A255,P_DIS!$B$32:$Q$263,10)</f>
        <v>0</v>
      </c>
      <c r="G255" s="114" t="str">
        <f>VLOOKUP(A255,P_DIS!$B$32:$Q$263,11)</f>
        <v>-</v>
      </c>
      <c r="H255" s="114" t="str">
        <f>VLOOKUP(A255,P_DIS!$B$32:$Q$263,16)</f>
        <v>-</v>
      </c>
      <c r="I255" s="115" t="str">
        <f t="shared" si="106"/>
        <v/>
      </c>
      <c r="J255" s="116" t="str">
        <f t="shared" si="107"/>
        <v/>
      </c>
      <c r="K255" s="117" t="str">
        <f t="shared" si="108"/>
        <v/>
      </c>
      <c r="L255" s="118" t="str">
        <f t="shared" si="109"/>
        <v/>
      </c>
      <c r="M255" s="118" t="str">
        <f t="shared" si="110"/>
        <v/>
      </c>
      <c r="N255" s="118" t="str">
        <f t="shared" si="111"/>
        <v/>
      </c>
      <c r="O255" s="118" t="str">
        <f t="shared" si="112"/>
        <v/>
      </c>
      <c r="P255" s="118" t="str">
        <f t="shared" si="113"/>
        <v/>
      </c>
      <c r="Q255" s="118" t="str">
        <f t="shared" si="114"/>
        <v/>
      </c>
      <c r="R255" s="118" t="str">
        <f t="shared" si="115"/>
        <v/>
      </c>
      <c r="S255" s="118" t="str">
        <f t="shared" si="116"/>
        <v/>
      </c>
      <c r="T255" s="119" t="str">
        <f t="shared" si="99"/>
        <v/>
      </c>
      <c r="U255" s="119" t="str">
        <f t="shared" si="100"/>
        <v/>
      </c>
      <c r="V255" s="120" t="str">
        <f t="shared" si="101"/>
        <v/>
      </c>
      <c r="W255" s="120" t="str">
        <f t="shared" si="102"/>
        <v/>
      </c>
      <c r="X255" s="120" t="str">
        <f t="shared" si="103"/>
        <v/>
      </c>
      <c r="Y255" s="121" t="str">
        <f t="shared" si="104"/>
        <v/>
      </c>
      <c r="Z255" s="121" t="str">
        <f t="shared" si="105"/>
        <v/>
      </c>
      <c r="AA255" s="122">
        <v>1</v>
      </c>
      <c r="AB255" s="123">
        <v>1</v>
      </c>
      <c r="AC255" s="123" t="str">
        <f t="shared" si="117"/>
        <v/>
      </c>
      <c r="AD255" s="123" t="str">
        <f t="shared" si="118"/>
        <v/>
      </c>
      <c r="AE255" s="123" t="str">
        <f t="shared" si="119"/>
        <v/>
      </c>
      <c r="AF255" s="123" t="str">
        <f t="shared" si="120"/>
        <v/>
      </c>
      <c r="AG255" s="123" t="str">
        <f t="shared" si="121"/>
        <v/>
      </c>
      <c r="AH255" s="115" t="str">
        <f t="shared" si="122"/>
        <v/>
      </c>
      <c r="AI255" s="115" t="str">
        <f t="shared" si="123"/>
        <v/>
      </c>
      <c r="AJ255" s="115" t="str">
        <f t="shared" si="124"/>
        <v/>
      </c>
      <c r="AK255" s="115" t="str">
        <f t="shared" si="125"/>
        <v/>
      </c>
      <c r="AL255" s="115" t="str">
        <f t="shared" si="126"/>
        <v/>
      </c>
      <c r="AM255" s="115" t="str">
        <f t="shared" si="127"/>
        <v/>
      </c>
      <c r="AN255" s="115" t="str">
        <f t="shared" si="128"/>
        <v/>
      </c>
      <c r="AO255" s="3"/>
      <c r="AP255" s="3"/>
      <c r="AQ255" s="3"/>
      <c r="AR255" s="3"/>
      <c r="AS255" s="3"/>
      <c r="AT255" s="3"/>
      <c r="AU255" s="3"/>
      <c r="AZ255" s="1"/>
      <c r="BA255" s="1"/>
      <c r="BB255" s="1"/>
      <c r="BC255" s="1"/>
      <c r="BD255" s="1"/>
      <c r="BE255" s="1"/>
      <c r="BF255" s="1"/>
    </row>
    <row r="256" spans="1:58">
      <c r="A256" s="109">
        <v>132</v>
      </c>
      <c r="B256" s="114" t="str">
        <f>VLOOKUP(A256,P_DIS!$B$32:$Q$263,12)</f>
        <v>-</v>
      </c>
      <c r="C256" s="114" t="str">
        <f>VLOOKUP(A256,P_DIS!$B$32:$Q$263,13)</f>
        <v>-</v>
      </c>
      <c r="D256" s="114" t="str">
        <f>VLOOKUP(A256,P_DIS!$B$32:$Q$263,15)</f>
        <v>-</v>
      </c>
      <c r="E256" s="114" t="str">
        <f>VLOOKUP(A256,P_DIS!$B$32:$Q$263,14)</f>
        <v>-</v>
      </c>
      <c r="F256" s="114">
        <f>VLOOKUP(A256,P_DIS!$B$32:$Q$263,10)</f>
        <v>0</v>
      </c>
      <c r="G256" s="114" t="str">
        <f>VLOOKUP(A256,P_DIS!$B$32:$Q$263,11)</f>
        <v>-</v>
      </c>
      <c r="H256" s="114" t="str">
        <f>VLOOKUP(A256,P_DIS!$B$32:$Q$263,16)</f>
        <v>-</v>
      </c>
      <c r="I256" s="115" t="str">
        <f t="shared" si="106"/>
        <v/>
      </c>
      <c r="J256" s="116" t="str">
        <f t="shared" si="107"/>
        <v/>
      </c>
      <c r="K256" s="117" t="str">
        <f t="shared" si="108"/>
        <v/>
      </c>
      <c r="L256" s="118" t="str">
        <f t="shared" si="109"/>
        <v/>
      </c>
      <c r="M256" s="118" t="str">
        <f t="shared" si="110"/>
        <v/>
      </c>
      <c r="N256" s="118" t="str">
        <f t="shared" si="111"/>
        <v/>
      </c>
      <c r="O256" s="118" t="str">
        <f t="shared" si="112"/>
        <v/>
      </c>
      <c r="P256" s="118" t="str">
        <f t="shared" si="113"/>
        <v/>
      </c>
      <c r="Q256" s="118" t="str">
        <f t="shared" si="114"/>
        <v/>
      </c>
      <c r="R256" s="118" t="str">
        <f t="shared" si="115"/>
        <v/>
      </c>
      <c r="S256" s="118" t="str">
        <f t="shared" si="116"/>
        <v/>
      </c>
      <c r="T256" s="119" t="str">
        <f t="shared" si="99"/>
        <v/>
      </c>
      <c r="U256" s="119" t="str">
        <f t="shared" si="100"/>
        <v/>
      </c>
      <c r="V256" s="120" t="str">
        <f t="shared" si="101"/>
        <v/>
      </c>
      <c r="W256" s="120" t="str">
        <f t="shared" si="102"/>
        <v/>
      </c>
      <c r="X256" s="120" t="str">
        <f t="shared" si="103"/>
        <v/>
      </c>
      <c r="Y256" s="121" t="str">
        <f t="shared" si="104"/>
        <v/>
      </c>
      <c r="Z256" s="121" t="str">
        <f t="shared" si="105"/>
        <v/>
      </c>
      <c r="AA256" s="122">
        <v>1</v>
      </c>
      <c r="AB256" s="123">
        <v>1</v>
      </c>
      <c r="AC256" s="123" t="str">
        <f t="shared" si="117"/>
        <v/>
      </c>
      <c r="AD256" s="123" t="str">
        <f t="shared" si="118"/>
        <v/>
      </c>
      <c r="AE256" s="123" t="str">
        <f t="shared" si="119"/>
        <v/>
      </c>
      <c r="AF256" s="123" t="str">
        <f t="shared" si="120"/>
        <v/>
      </c>
      <c r="AG256" s="123" t="str">
        <f t="shared" si="121"/>
        <v/>
      </c>
      <c r="AH256" s="115" t="str">
        <f t="shared" si="122"/>
        <v/>
      </c>
      <c r="AI256" s="115" t="str">
        <f t="shared" si="123"/>
        <v/>
      </c>
      <c r="AJ256" s="115" t="str">
        <f t="shared" si="124"/>
        <v/>
      </c>
      <c r="AK256" s="115" t="str">
        <f t="shared" si="125"/>
        <v/>
      </c>
      <c r="AL256" s="115" t="str">
        <f t="shared" si="126"/>
        <v/>
      </c>
      <c r="AM256" s="115" t="str">
        <f t="shared" si="127"/>
        <v/>
      </c>
      <c r="AN256" s="115" t="str">
        <f t="shared" si="128"/>
        <v/>
      </c>
      <c r="AO256" s="3"/>
      <c r="AP256" s="3"/>
      <c r="AQ256" s="3"/>
      <c r="AR256" s="3"/>
      <c r="AS256" s="3"/>
      <c r="AT256" s="3"/>
      <c r="AU256" s="3"/>
      <c r="AZ256" s="1"/>
      <c r="BA256" s="1"/>
      <c r="BB256" s="1"/>
      <c r="BC256" s="1"/>
      <c r="BD256" s="1"/>
      <c r="BE256" s="1"/>
      <c r="BF256" s="1"/>
    </row>
    <row r="257" spans="1:58">
      <c r="A257" s="109">
        <v>133</v>
      </c>
      <c r="B257" s="114" t="str">
        <f>VLOOKUP(A257,P_DIS!$B$32:$Q$263,12)</f>
        <v>-</v>
      </c>
      <c r="C257" s="114" t="str">
        <f>VLOOKUP(A257,P_DIS!$B$32:$Q$263,13)</f>
        <v>-</v>
      </c>
      <c r="D257" s="114" t="str">
        <f>VLOOKUP(A257,P_DIS!$B$32:$Q$263,15)</f>
        <v>-</v>
      </c>
      <c r="E257" s="114" t="str">
        <f>VLOOKUP(A257,P_DIS!$B$32:$Q$263,14)</f>
        <v>-</v>
      </c>
      <c r="F257" s="114">
        <f>VLOOKUP(A257,P_DIS!$B$32:$Q$263,10)</f>
        <v>0</v>
      </c>
      <c r="G257" s="114" t="str">
        <f>VLOOKUP(A257,P_DIS!$B$32:$Q$263,11)</f>
        <v>-</v>
      </c>
      <c r="H257" s="114" t="str">
        <f>VLOOKUP(A257,P_DIS!$B$32:$Q$263,16)</f>
        <v>-</v>
      </c>
      <c r="I257" s="115" t="str">
        <f t="shared" si="106"/>
        <v/>
      </c>
      <c r="J257" s="116" t="str">
        <f t="shared" si="107"/>
        <v/>
      </c>
      <c r="K257" s="117" t="str">
        <f t="shared" si="108"/>
        <v/>
      </c>
      <c r="L257" s="118" t="str">
        <f t="shared" si="109"/>
        <v/>
      </c>
      <c r="M257" s="118" t="str">
        <f t="shared" si="110"/>
        <v/>
      </c>
      <c r="N257" s="118" t="str">
        <f t="shared" si="111"/>
        <v/>
      </c>
      <c r="O257" s="118" t="str">
        <f t="shared" si="112"/>
        <v/>
      </c>
      <c r="P257" s="118" t="str">
        <f t="shared" si="113"/>
        <v/>
      </c>
      <c r="Q257" s="118" t="str">
        <f t="shared" si="114"/>
        <v/>
      </c>
      <c r="R257" s="118" t="str">
        <f t="shared" si="115"/>
        <v/>
      </c>
      <c r="S257" s="118" t="str">
        <f t="shared" si="116"/>
        <v/>
      </c>
      <c r="T257" s="119" t="str">
        <f t="shared" si="99"/>
        <v/>
      </c>
      <c r="U257" s="119" t="str">
        <f t="shared" si="100"/>
        <v/>
      </c>
      <c r="V257" s="120" t="str">
        <f t="shared" si="101"/>
        <v/>
      </c>
      <c r="W257" s="120" t="str">
        <f t="shared" si="102"/>
        <v/>
      </c>
      <c r="X257" s="120" t="str">
        <f t="shared" si="103"/>
        <v/>
      </c>
      <c r="Y257" s="121" t="str">
        <f t="shared" si="104"/>
        <v/>
      </c>
      <c r="Z257" s="121" t="str">
        <f t="shared" si="105"/>
        <v/>
      </c>
      <c r="AA257" s="122">
        <v>1</v>
      </c>
      <c r="AB257" s="123">
        <v>1</v>
      </c>
      <c r="AC257" s="123" t="str">
        <f t="shared" si="117"/>
        <v/>
      </c>
      <c r="AD257" s="123" t="str">
        <f t="shared" si="118"/>
        <v/>
      </c>
      <c r="AE257" s="123" t="str">
        <f t="shared" si="119"/>
        <v/>
      </c>
      <c r="AF257" s="123" t="str">
        <f t="shared" si="120"/>
        <v/>
      </c>
      <c r="AG257" s="123" t="str">
        <f t="shared" si="121"/>
        <v/>
      </c>
      <c r="AH257" s="115" t="str">
        <f t="shared" si="122"/>
        <v/>
      </c>
      <c r="AI257" s="115" t="str">
        <f t="shared" si="123"/>
        <v/>
      </c>
      <c r="AJ257" s="115" t="str">
        <f t="shared" si="124"/>
        <v/>
      </c>
      <c r="AK257" s="115" t="str">
        <f t="shared" si="125"/>
        <v/>
      </c>
      <c r="AL257" s="115" t="str">
        <f t="shared" si="126"/>
        <v/>
      </c>
      <c r="AM257" s="115" t="str">
        <f t="shared" si="127"/>
        <v/>
      </c>
      <c r="AN257" s="115" t="str">
        <f t="shared" si="128"/>
        <v/>
      </c>
      <c r="AO257" s="3"/>
      <c r="AP257" s="3"/>
      <c r="AQ257" s="3"/>
      <c r="AR257" s="3"/>
      <c r="AS257" s="3"/>
      <c r="AT257" s="3"/>
      <c r="AU257" s="3"/>
      <c r="AZ257" s="1"/>
      <c r="BA257" s="1"/>
      <c r="BB257" s="1"/>
      <c r="BC257" s="1"/>
      <c r="BD257" s="1"/>
      <c r="BE257" s="1"/>
      <c r="BF257" s="1"/>
    </row>
    <row r="258" spans="1:58">
      <c r="A258" s="109">
        <v>134</v>
      </c>
      <c r="B258" s="114" t="str">
        <f>VLOOKUP(A258,P_DIS!$B$32:$Q$263,12)</f>
        <v>-</v>
      </c>
      <c r="C258" s="114" t="str">
        <f>VLOOKUP(A258,P_DIS!$B$32:$Q$263,13)</f>
        <v>-</v>
      </c>
      <c r="D258" s="114" t="str">
        <f>VLOOKUP(A258,P_DIS!$B$32:$Q$263,15)</f>
        <v>-</v>
      </c>
      <c r="E258" s="114" t="str">
        <f>VLOOKUP(A258,P_DIS!$B$32:$Q$263,14)</f>
        <v>-</v>
      </c>
      <c r="F258" s="114">
        <f>VLOOKUP(A258,P_DIS!$B$32:$Q$263,10)</f>
        <v>0</v>
      </c>
      <c r="G258" s="114" t="str">
        <f>VLOOKUP(A258,P_DIS!$B$32:$Q$263,11)</f>
        <v>-</v>
      </c>
      <c r="H258" s="114" t="str">
        <f>VLOOKUP(A258,P_DIS!$B$32:$Q$263,16)</f>
        <v>-</v>
      </c>
      <c r="I258" s="115" t="str">
        <f t="shared" si="106"/>
        <v/>
      </c>
      <c r="J258" s="116" t="str">
        <f t="shared" si="107"/>
        <v/>
      </c>
      <c r="K258" s="117" t="str">
        <f t="shared" si="108"/>
        <v/>
      </c>
      <c r="L258" s="118" t="str">
        <f t="shared" si="109"/>
        <v/>
      </c>
      <c r="M258" s="118" t="str">
        <f t="shared" si="110"/>
        <v/>
      </c>
      <c r="N258" s="118" t="str">
        <f t="shared" si="111"/>
        <v/>
      </c>
      <c r="O258" s="118" t="str">
        <f t="shared" si="112"/>
        <v/>
      </c>
      <c r="P258" s="118" t="str">
        <f t="shared" si="113"/>
        <v/>
      </c>
      <c r="Q258" s="118" t="str">
        <f t="shared" si="114"/>
        <v/>
      </c>
      <c r="R258" s="118" t="str">
        <f t="shared" si="115"/>
        <v/>
      </c>
      <c r="S258" s="118" t="str">
        <f t="shared" si="116"/>
        <v/>
      </c>
      <c r="T258" s="119" t="str">
        <f t="shared" si="99"/>
        <v/>
      </c>
      <c r="U258" s="119" t="str">
        <f t="shared" si="100"/>
        <v/>
      </c>
      <c r="V258" s="120" t="str">
        <f t="shared" si="101"/>
        <v/>
      </c>
      <c r="W258" s="120" t="str">
        <f t="shared" si="102"/>
        <v/>
      </c>
      <c r="X258" s="120" t="str">
        <f t="shared" si="103"/>
        <v/>
      </c>
      <c r="Y258" s="121" t="str">
        <f t="shared" si="104"/>
        <v/>
      </c>
      <c r="Z258" s="121" t="str">
        <f t="shared" si="105"/>
        <v/>
      </c>
      <c r="AA258" s="122">
        <v>1</v>
      </c>
      <c r="AB258" s="123">
        <v>1</v>
      </c>
      <c r="AC258" s="123" t="str">
        <f t="shared" si="117"/>
        <v/>
      </c>
      <c r="AD258" s="123" t="str">
        <f t="shared" si="118"/>
        <v/>
      </c>
      <c r="AE258" s="123" t="str">
        <f t="shared" si="119"/>
        <v/>
      </c>
      <c r="AF258" s="123" t="str">
        <f t="shared" si="120"/>
        <v/>
      </c>
      <c r="AG258" s="123" t="str">
        <f t="shared" si="121"/>
        <v/>
      </c>
      <c r="AH258" s="115" t="str">
        <f t="shared" si="122"/>
        <v/>
      </c>
      <c r="AI258" s="115" t="str">
        <f t="shared" si="123"/>
        <v/>
      </c>
      <c r="AJ258" s="115" t="str">
        <f t="shared" si="124"/>
        <v/>
      </c>
      <c r="AK258" s="115" t="str">
        <f t="shared" si="125"/>
        <v/>
      </c>
      <c r="AL258" s="115" t="str">
        <f t="shared" si="126"/>
        <v/>
      </c>
      <c r="AM258" s="115" t="str">
        <f t="shared" si="127"/>
        <v/>
      </c>
      <c r="AN258" s="115" t="str">
        <f t="shared" si="128"/>
        <v/>
      </c>
      <c r="AO258" s="3"/>
      <c r="AP258" s="3"/>
      <c r="AQ258" s="3"/>
      <c r="AR258" s="3"/>
      <c r="AS258" s="3"/>
      <c r="AT258" s="3"/>
      <c r="AU258" s="3"/>
      <c r="AZ258" s="1"/>
      <c r="BA258" s="1"/>
      <c r="BB258" s="1"/>
      <c r="BC258" s="1"/>
      <c r="BD258" s="1"/>
      <c r="BE258" s="1"/>
      <c r="BF258" s="1"/>
    </row>
    <row r="259" spans="1:58">
      <c r="A259" s="109">
        <v>135</v>
      </c>
      <c r="B259" s="114" t="str">
        <f>VLOOKUP(A259,P_DIS!$B$32:$Q$263,12)</f>
        <v>-</v>
      </c>
      <c r="C259" s="114" t="str">
        <f>VLOOKUP(A259,P_DIS!$B$32:$Q$263,13)</f>
        <v>-</v>
      </c>
      <c r="D259" s="114" t="str">
        <f>VLOOKUP(A259,P_DIS!$B$32:$Q$263,15)</f>
        <v>-</v>
      </c>
      <c r="E259" s="114" t="str">
        <f>VLOOKUP(A259,P_DIS!$B$32:$Q$263,14)</f>
        <v>-</v>
      </c>
      <c r="F259" s="114">
        <f>VLOOKUP(A259,P_DIS!$B$32:$Q$263,10)</f>
        <v>0</v>
      </c>
      <c r="G259" s="114" t="str">
        <f>VLOOKUP(A259,P_DIS!$B$32:$Q$263,11)</f>
        <v>-</v>
      </c>
      <c r="H259" s="114" t="str">
        <f>VLOOKUP(A259,P_DIS!$B$32:$Q$263,16)</f>
        <v>-</v>
      </c>
      <c r="I259" s="115" t="str">
        <f t="shared" si="106"/>
        <v/>
      </c>
      <c r="J259" s="116" t="str">
        <f t="shared" si="107"/>
        <v/>
      </c>
      <c r="K259" s="117" t="str">
        <f t="shared" si="108"/>
        <v/>
      </c>
      <c r="L259" s="118" t="str">
        <f t="shared" si="109"/>
        <v/>
      </c>
      <c r="M259" s="118" t="str">
        <f t="shared" si="110"/>
        <v/>
      </c>
      <c r="N259" s="118" t="str">
        <f t="shared" si="111"/>
        <v/>
      </c>
      <c r="O259" s="118" t="str">
        <f t="shared" si="112"/>
        <v/>
      </c>
      <c r="P259" s="118" t="str">
        <f t="shared" si="113"/>
        <v/>
      </c>
      <c r="Q259" s="118" t="str">
        <f t="shared" si="114"/>
        <v/>
      </c>
      <c r="R259" s="118" t="str">
        <f t="shared" si="115"/>
        <v/>
      </c>
      <c r="S259" s="118" t="str">
        <f t="shared" si="116"/>
        <v/>
      </c>
      <c r="T259" s="119" t="str">
        <f t="shared" si="99"/>
        <v/>
      </c>
      <c r="U259" s="119" t="str">
        <f t="shared" si="100"/>
        <v/>
      </c>
      <c r="V259" s="120" t="str">
        <f t="shared" si="101"/>
        <v/>
      </c>
      <c r="W259" s="120" t="str">
        <f t="shared" si="102"/>
        <v/>
      </c>
      <c r="X259" s="120" t="str">
        <f t="shared" si="103"/>
        <v/>
      </c>
      <c r="Y259" s="121" t="str">
        <f t="shared" si="104"/>
        <v/>
      </c>
      <c r="Z259" s="121" t="str">
        <f t="shared" si="105"/>
        <v/>
      </c>
      <c r="AA259" s="122">
        <v>1</v>
      </c>
      <c r="AB259" s="123">
        <v>1</v>
      </c>
      <c r="AC259" s="123" t="str">
        <f t="shared" si="117"/>
        <v/>
      </c>
      <c r="AD259" s="123" t="str">
        <f t="shared" si="118"/>
        <v/>
      </c>
      <c r="AE259" s="123" t="str">
        <f t="shared" si="119"/>
        <v/>
      </c>
      <c r="AF259" s="123" t="str">
        <f t="shared" si="120"/>
        <v/>
      </c>
      <c r="AG259" s="123" t="str">
        <f t="shared" si="121"/>
        <v/>
      </c>
      <c r="AH259" s="115" t="str">
        <f t="shared" si="122"/>
        <v/>
      </c>
      <c r="AI259" s="115" t="str">
        <f t="shared" si="123"/>
        <v/>
      </c>
      <c r="AJ259" s="115" t="str">
        <f t="shared" si="124"/>
        <v/>
      </c>
      <c r="AK259" s="115" t="str">
        <f t="shared" si="125"/>
        <v/>
      </c>
      <c r="AL259" s="115" t="str">
        <f t="shared" si="126"/>
        <v/>
      </c>
      <c r="AM259" s="115" t="str">
        <f t="shared" si="127"/>
        <v/>
      </c>
      <c r="AN259" s="115" t="str">
        <f t="shared" si="128"/>
        <v/>
      </c>
      <c r="AO259" s="3"/>
      <c r="AP259" s="3"/>
      <c r="AQ259" s="3"/>
      <c r="AR259" s="3"/>
      <c r="AS259" s="3"/>
      <c r="AT259" s="3"/>
      <c r="AU259" s="3"/>
      <c r="AZ259" s="1"/>
      <c r="BA259" s="1"/>
      <c r="BB259" s="1"/>
      <c r="BC259" s="1"/>
      <c r="BD259" s="1"/>
      <c r="BE259" s="1"/>
      <c r="BF259" s="1"/>
    </row>
    <row r="260" spans="1:58">
      <c r="A260" s="109">
        <v>136</v>
      </c>
      <c r="B260" s="114" t="str">
        <f>VLOOKUP(A260,P_DIS!$B$32:$Q$263,12)</f>
        <v>-</v>
      </c>
      <c r="C260" s="114" t="str">
        <f>VLOOKUP(A260,P_DIS!$B$32:$Q$263,13)</f>
        <v>-</v>
      </c>
      <c r="D260" s="114" t="str">
        <f>VLOOKUP(A260,P_DIS!$B$32:$Q$263,15)</f>
        <v>-</v>
      </c>
      <c r="E260" s="114" t="str">
        <f>VLOOKUP(A260,P_DIS!$B$32:$Q$263,14)</f>
        <v>-</v>
      </c>
      <c r="F260" s="114">
        <f>VLOOKUP(A260,P_DIS!$B$32:$Q$263,10)</f>
        <v>0</v>
      </c>
      <c r="G260" s="114" t="str">
        <f>VLOOKUP(A260,P_DIS!$B$32:$Q$263,11)</f>
        <v>-</v>
      </c>
      <c r="H260" s="114" t="str">
        <f>VLOOKUP(A260,P_DIS!$B$32:$Q$263,16)</f>
        <v>-</v>
      </c>
      <c r="I260" s="115" t="str">
        <f t="shared" si="106"/>
        <v/>
      </c>
      <c r="J260" s="116" t="str">
        <f t="shared" si="107"/>
        <v/>
      </c>
      <c r="K260" s="117" t="str">
        <f t="shared" si="108"/>
        <v/>
      </c>
      <c r="L260" s="118" t="str">
        <f t="shared" si="109"/>
        <v/>
      </c>
      <c r="M260" s="118" t="str">
        <f t="shared" si="110"/>
        <v/>
      </c>
      <c r="N260" s="118" t="str">
        <f t="shared" si="111"/>
        <v/>
      </c>
      <c r="O260" s="118" t="str">
        <f t="shared" si="112"/>
        <v/>
      </c>
      <c r="P260" s="118" t="str">
        <f t="shared" si="113"/>
        <v/>
      </c>
      <c r="Q260" s="118" t="str">
        <f t="shared" si="114"/>
        <v/>
      </c>
      <c r="R260" s="118" t="str">
        <f t="shared" si="115"/>
        <v/>
      </c>
      <c r="S260" s="118" t="str">
        <f t="shared" si="116"/>
        <v/>
      </c>
      <c r="T260" s="119" t="str">
        <f t="shared" si="99"/>
        <v/>
      </c>
      <c r="U260" s="119" t="str">
        <f t="shared" si="100"/>
        <v/>
      </c>
      <c r="V260" s="120" t="str">
        <f t="shared" si="101"/>
        <v/>
      </c>
      <c r="W260" s="120" t="str">
        <f t="shared" si="102"/>
        <v/>
      </c>
      <c r="X260" s="120" t="str">
        <f t="shared" si="103"/>
        <v/>
      </c>
      <c r="Y260" s="121" t="str">
        <f t="shared" si="104"/>
        <v/>
      </c>
      <c r="Z260" s="121" t="str">
        <f t="shared" si="105"/>
        <v/>
      </c>
      <c r="AA260" s="122">
        <v>1</v>
      </c>
      <c r="AB260" s="123">
        <v>1</v>
      </c>
      <c r="AC260" s="123" t="str">
        <f t="shared" si="117"/>
        <v/>
      </c>
      <c r="AD260" s="123" t="str">
        <f t="shared" si="118"/>
        <v/>
      </c>
      <c r="AE260" s="123" t="str">
        <f t="shared" si="119"/>
        <v/>
      </c>
      <c r="AF260" s="123" t="str">
        <f t="shared" si="120"/>
        <v/>
      </c>
      <c r="AG260" s="123" t="str">
        <f t="shared" si="121"/>
        <v/>
      </c>
      <c r="AH260" s="115" t="str">
        <f t="shared" si="122"/>
        <v/>
      </c>
      <c r="AI260" s="115" t="str">
        <f t="shared" si="123"/>
        <v/>
      </c>
      <c r="AJ260" s="115" t="str">
        <f t="shared" si="124"/>
        <v/>
      </c>
      <c r="AK260" s="115" t="str">
        <f t="shared" si="125"/>
        <v/>
      </c>
      <c r="AL260" s="115" t="str">
        <f t="shared" si="126"/>
        <v/>
      </c>
      <c r="AM260" s="115" t="str">
        <f t="shared" si="127"/>
        <v/>
      </c>
      <c r="AN260" s="115" t="str">
        <f t="shared" si="128"/>
        <v/>
      </c>
      <c r="AO260" s="3"/>
      <c r="AP260" s="3"/>
      <c r="AQ260" s="3"/>
      <c r="AR260" s="3"/>
      <c r="AS260" s="3"/>
      <c r="AT260" s="3"/>
      <c r="AU260" s="3"/>
      <c r="AZ260" s="1"/>
      <c r="BA260" s="1"/>
      <c r="BB260" s="1"/>
      <c r="BC260" s="1"/>
      <c r="BD260" s="1"/>
      <c r="BE260" s="1"/>
      <c r="BF260" s="1"/>
    </row>
    <row r="261" spans="1:58">
      <c r="A261" s="109">
        <v>137</v>
      </c>
      <c r="B261" s="114" t="str">
        <f>VLOOKUP(A261,P_DIS!$B$32:$Q$263,12)</f>
        <v>-</v>
      </c>
      <c r="C261" s="114" t="str">
        <f>VLOOKUP(A261,P_DIS!$B$32:$Q$263,13)</f>
        <v>-</v>
      </c>
      <c r="D261" s="114" t="str">
        <f>VLOOKUP(A261,P_DIS!$B$32:$Q$263,15)</f>
        <v>-</v>
      </c>
      <c r="E261" s="114" t="str">
        <f>VLOOKUP(A261,P_DIS!$B$32:$Q$263,14)</f>
        <v>-</v>
      </c>
      <c r="F261" s="114">
        <f>VLOOKUP(A261,P_DIS!$B$32:$Q$263,10)</f>
        <v>0</v>
      </c>
      <c r="G261" s="114" t="str">
        <f>VLOOKUP(A261,P_DIS!$B$32:$Q$263,11)</f>
        <v>-</v>
      </c>
      <c r="H261" s="114" t="str">
        <f>VLOOKUP(A261,P_DIS!$B$32:$Q$263,16)</f>
        <v>-</v>
      </c>
      <c r="I261" s="115" t="str">
        <f t="shared" si="106"/>
        <v/>
      </c>
      <c r="J261" s="116" t="str">
        <f t="shared" si="107"/>
        <v/>
      </c>
      <c r="K261" s="117" t="str">
        <f t="shared" si="108"/>
        <v/>
      </c>
      <c r="L261" s="118" t="str">
        <f t="shared" si="109"/>
        <v/>
      </c>
      <c r="M261" s="118" t="str">
        <f t="shared" si="110"/>
        <v/>
      </c>
      <c r="N261" s="118" t="str">
        <f t="shared" si="111"/>
        <v/>
      </c>
      <c r="O261" s="118" t="str">
        <f t="shared" si="112"/>
        <v/>
      </c>
      <c r="P261" s="118" t="str">
        <f t="shared" si="113"/>
        <v/>
      </c>
      <c r="Q261" s="118" t="str">
        <f t="shared" si="114"/>
        <v/>
      </c>
      <c r="R261" s="118" t="str">
        <f t="shared" si="115"/>
        <v/>
      </c>
      <c r="S261" s="118" t="str">
        <f t="shared" si="116"/>
        <v/>
      </c>
      <c r="T261" s="119" t="str">
        <f t="shared" si="99"/>
        <v/>
      </c>
      <c r="U261" s="119" t="str">
        <f t="shared" si="100"/>
        <v/>
      </c>
      <c r="V261" s="120" t="str">
        <f t="shared" si="101"/>
        <v/>
      </c>
      <c r="W261" s="120" t="str">
        <f t="shared" si="102"/>
        <v/>
      </c>
      <c r="X261" s="120" t="str">
        <f t="shared" si="103"/>
        <v/>
      </c>
      <c r="Y261" s="121" t="str">
        <f t="shared" si="104"/>
        <v/>
      </c>
      <c r="Z261" s="121" t="str">
        <f t="shared" si="105"/>
        <v/>
      </c>
      <c r="AA261" s="122">
        <v>1</v>
      </c>
      <c r="AB261" s="123">
        <v>1</v>
      </c>
      <c r="AC261" s="123" t="str">
        <f t="shared" si="117"/>
        <v/>
      </c>
      <c r="AD261" s="123" t="str">
        <f t="shared" si="118"/>
        <v/>
      </c>
      <c r="AE261" s="123" t="str">
        <f t="shared" si="119"/>
        <v/>
      </c>
      <c r="AF261" s="123" t="str">
        <f t="shared" si="120"/>
        <v/>
      </c>
      <c r="AG261" s="123" t="str">
        <f t="shared" si="121"/>
        <v/>
      </c>
      <c r="AH261" s="115" t="str">
        <f t="shared" si="122"/>
        <v/>
      </c>
      <c r="AI261" s="115" t="str">
        <f t="shared" si="123"/>
        <v/>
      </c>
      <c r="AJ261" s="115" t="str">
        <f t="shared" si="124"/>
        <v/>
      </c>
      <c r="AK261" s="115" t="str">
        <f t="shared" si="125"/>
        <v/>
      </c>
      <c r="AL261" s="115" t="str">
        <f t="shared" si="126"/>
        <v/>
      </c>
      <c r="AM261" s="115" t="str">
        <f t="shared" si="127"/>
        <v/>
      </c>
      <c r="AN261" s="115" t="str">
        <f t="shared" si="128"/>
        <v/>
      </c>
      <c r="AO261" s="3"/>
      <c r="AP261" s="3"/>
      <c r="AQ261" s="3"/>
      <c r="AR261" s="3"/>
      <c r="AS261" s="3"/>
      <c r="AT261" s="3"/>
      <c r="AU261" s="3"/>
      <c r="AZ261" s="1"/>
      <c r="BA261" s="1"/>
      <c r="BB261" s="1"/>
      <c r="BC261" s="1"/>
      <c r="BD261" s="1"/>
      <c r="BE261" s="1"/>
      <c r="BF261" s="1"/>
    </row>
    <row r="262" spans="1:58">
      <c r="A262" s="109">
        <v>138</v>
      </c>
      <c r="B262" s="114" t="str">
        <f>VLOOKUP(A262,P_DIS!$B$32:$Q$263,12)</f>
        <v>-</v>
      </c>
      <c r="C262" s="114" t="str">
        <f>VLOOKUP(A262,P_DIS!$B$32:$Q$263,13)</f>
        <v>-</v>
      </c>
      <c r="D262" s="114" t="str">
        <f>VLOOKUP(A262,P_DIS!$B$32:$Q$263,15)</f>
        <v>-</v>
      </c>
      <c r="E262" s="114" t="str">
        <f>VLOOKUP(A262,P_DIS!$B$32:$Q$263,14)</f>
        <v>-</v>
      </c>
      <c r="F262" s="114">
        <f>VLOOKUP(A262,P_DIS!$B$32:$Q$263,10)</f>
        <v>0</v>
      </c>
      <c r="G262" s="114" t="str">
        <f>VLOOKUP(A262,P_DIS!$B$32:$Q$263,11)</f>
        <v>-</v>
      </c>
      <c r="H262" s="114" t="str">
        <f>VLOOKUP(A262,P_DIS!$B$32:$Q$263,16)</f>
        <v>-</v>
      </c>
      <c r="I262" s="115" t="str">
        <f t="shared" si="106"/>
        <v/>
      </c>
      <c r="J262" s="116" t="str">
        <f t="shared" si="107"/>
        <v/>
      </c>
      <c r="K262" s="117" t="str">
        <f t="shared" si="108"/>
        <v/>
      </c>
      <c r="L262" s="118" t="str">
        <f t="shared" si="109"/>
        <v/>
      </c>
      <c r="M262" s="118" t="str">
        <f t="shared" si="110"/>
        <v/>
      </c>
      <c r="N262" s="118" t="str">
        <f t="shared" si="111"/>
        <v/>
      </c>
      <c r="O262" s="118" t="str">
        <f t="shared" si="112"/>
        <v/>
      </c>
      <c r="P262" s="118" t="str">
        <f t="shared" si="113"/>
        <v/>
      </c>
      <c r="Q262" s="118" t="str">
        <f t="shared" si="114"/>
        <v/>
      </c>
      <c r="R262" s="118" t="str">
        <f t="shared" si="115"/>
        <v/>
      </c>
      <c r="S262" s="118" t="str">
        <f t="shared" si="116"/>
        <v/>
      </c>
      <c r="T262" s="119" t="str">
        <f t="shared" si="99"/>
        <v/>
      </c>
      <c r="U262" s="119" t="str">
        <f t="shared" si="100"/>
        <v/>
      </c>
      <c r="V262" s="120" t="str">
        <f t="shared" si="101"/>
        <v/>
      </c>
      <c r="W262" s="120" t="str">
        <f t="shared" si="102"/>
        <v/>
      </c>
      <c r="X262" s="120" t="str">
        <f t="shared" si="103"/>
        <v/>
      </c>
      <c r="Y262" s="121" t="str">
        <f t="shared" si="104"/>
        <v/>
      </c>
      <c r="Z262" s="121" t="str">
        <f t="shared" si="105"/>
        <v/>
      </c>
      <c r="AA262" s="122">
        <v>1</v>
      </c>
      <c r="AB262" s="123">
        <v>1</v>
      </c>
      <c r="AC262" s="123" t="str">
        <f t="shared" si="117"/>
        <v/>
      </c>
      <c r="AD262" s="123" t="str">
        <f t="shared" si="118"/>
        <v/>
      </c>
      <c r="AE262" s="123" t="str">
        <f t="shared" si="119"/>
        <v/>
      </c>
      <c r="AF262" s="123" t="str">
        <f t="shared" si="120"/>
        <v/>
      </c>
      <c r="AG262" s="123" t="str">
        <f t="shared" si="121"/>
        <v/>
      </c>
      <c r="AH262" s="115" t="str">
        <f t="shared" si="122"/>
        <v/>
      </c>
      <c r="AI262" s="115" t="str">
        <f t="shared" si="123"/>
        <v/>
      </c>
      <c r="AJ262" s="115" t="str">
        <f t="shared" si="124"/>
        <v/>
      </c>
      <c r="AK262" s="115" t="str">
        <f t="shared" si="125"/>
        <v/>
      </c>
      <c r="AL262" s="115" t="str">
        <f t="shared" si="126"/>
        <v/>
      </c>
      <c r="AM262" s="115" t="str">
        <f t="shared" si="127"/>
        <v/>
      </c>
      <c r="AN262" s="115" t="str">
        <f t="shared" si="128"/>
        <v/>
      </c>
      <c r="AO262" s="3"/>
      <c r="AP262" s="3"/>
      <c r="AQ262" s="3"/>
      <c r="AR262" s="3"/>
      <c r="AS262" s="3"/>
      <c r="AT262" s="3"/>
      <c r="AU262" s="3"/>
      <c r="AZ262" s="1"/>
      <c r="BA262" s="1"/>
      <c r="BB262" s="1"/>
      <c r="BC262" s="1"/>
      <c r="BD262" s="1"/>
      <c r="BE262" s="1"/>
      <c r="BF262" s="1"/>
    </row>
    <row r="263" spans="1:58">
      <c r="A263" s="109">
        <v>139</v>
      </c>
      <c r="B263" s="114" t="str">
        <f>VLOOKUP(A263,P_DIS!$B$32:$Q$263,12)</f>
        <v>-</v>
      </c>
      <c r="C263" s="114" t="str">
        <f>VLOOKUP(A263,P_DIS!$B$32:$Q$263,13)</f>
        <v>-</v>
      </c>
      <c r="D263" s="114" t="str">
        <f>VLOOKUP(A263,P_DIS!$B$32:$Q$263,15)</f>
        <v>-</v>
      </c>
      <c r="E263" s="114" t="str">
        <f>VLOOKUP(A263,P_DIS!$B$32:$Q$263,14)</f>
        <v>-</v>
      </c>
      <c r="F263" s="114">
        <f>VLOOKUP(A263,P_DIS!$B$32:$Q$263,10)</f>
        <v>0</v>
      </c>
      <c r="G263" s="114" t="str">
        <f>VLOOKUP(A263,P_DIS!$B$32:$Q$263,11)</f>
        <v>-</v>
      </c>
      <c r="H263" s="114" t="str">
        <f>VLOOKUP(A263,P_DIS!$B$32:$Q$263,16)</f>
        <v>-</v>
      </c>
      <c r="I263" s="115" t="str">
        <f t="shared" si="106"/>
        <v/>
      </c>
      <c r="J263" s="116" t="str">
        <f t="shared" si="107"/>
        <v/>
      </c>
      <c r="K263" s="117" t="str">
        <f t="shared" si="108"/>
        <v/>
      </c>
      <c r="L263" s="118" t="str">
        <f t="shared" si="109"/>
        <v/>
      </c>
      <c r="M263" s="118" t="str">
        <f t="shared" si="110"/>
        <v/>
      </c>
      <c r="N263" s="118" t="str">
        <f t="shared" si="111"/>
        <v/>
      </c>
      <c r="O263" s="118" t="str">
        <f t="shared" si="112"/>
        <v/>
      </c>
      <c r="P263" s="118" t="str">
        <f t="shared" si="113"/>
        <v/>
      </c>
      <c r="Q263" s="118" t="str">
        <f t="shared" si="114"/>
        <v/>
      </c>
      <c r="R263" s="118" t="str">
        <f t="shared" si="115"/>
        <v/>
      </c>
      <c r="S263" s="118" t="str">
        <f t="shared" si="116"/>
        <v/>
      </c>
      <c r="T263" s="119" t="str">
        <f t="shared" si="99"/>
        <v/>
      </c>
      <c r="U263" s="119" t="str">
        <f t="shared" si="100"/>
        <v/>
      </c>
      <c r="V263" s="120" t="str">
        <f t="shared" si="101"/>
        <v/>
      </c>
      <c r="W263" s="120" t="str">
        <f t="shared" si="102"/>
        <v/>
      </c>
      <c r="X263" s="120" t="str">
        <f t="shared" si="103"/>
        <v/>
      </c>
      <c r="Y263" s="121" t="str">
        <f t="shared" si="104"/>
        <v/>
      </c>
      <c r="Z263" s="121" t="str">
        <f t="shared" si="105"/>
        <v/>
      </c>
      <c r="AA263" s="122">
        <v>1</v>
      </c>
      <c r="AB263" s="123">
        <v>1</v>
      </c>
      <c r="AC263" s="123" t="str">
        <f t="shared" si="117"/>
        <v/>
      </c>
      <c r="AD263" s="123" t="str">
        <f t="shared" si="118"/>
        <v/>
      </c>
      <c r="AE263" s="123" t="str">
        <f t="shared" si="119"/>
        <v/>
      </c>
      <c r="AF263" s="123" t="str">
        <f t="shared" si="120"/>
        <v/>
      </c>
      <c r="AG263" s="123" t="str">
        <f t="shared" si="121"/>
        <v/>
      </c>
      <c r="AH263" s="115" t="str">
        <f t="shared" si="122"/>
        <v/>
      </c>
      <c r="AI263" s="115" t="str">
        <f t="shared" si="123"/>
        <v/>
      </c>
      <c r="AJ263" s="115" t="str">
        <f t="shared" si="124"/>
        <v/>
      </c>
      <c r="AK263" s="115" t="str">
        <f t="shared" si="125"/>
        <v/>
      </c>
      <c r="AL263" s="115" t="str">
        <f t="shared" si="126"/>
        <v/>
      </c>
      <c r="AM263" s="115" t="str">
        <f t="shared" si="127"/>
        <v/>
      </c>
      <c r="AN263" s="115" t="str">
        <f t="shared" si="128"/>
        <v/>
      </c>
      <c r="AO263" s="3"/>
      <c r="AP263" s="3"/>
      <c r="AQ263" s="3"/>
      <c r="AR263" s="3"/>
      <c r="AS263" s="3"/>
      <c r="AT263" s="3"/>
      <c r="AU263" s="3"/>
      <c r="AZ263" s="1"/>
      <c r="BA263" s="1"/>
      <c r="BB263" s="1"/>
      <c r="BC263" s="1"/>
      <c r="BD263" s="1"/>
      <c r="BE263" s="1"/>
      <c r="BF263" s="1"/>
    </row>
    <row r="264" spans="1:58">
      <c r="A264" s="109">
        <v>140</v>
      </c>
      <c r="B264" s="114" t="str">
        <f>VLOOKUP(A264,P_DIS!$B$32:$Q$263,12)</f>
        <v>-</v>
      </c>
      <c r="C264" s="114" t="str">
        <f>VLOOKUP(A264,P_DIS!$B$32:$Q$263,13)</f>
        <v>-</v>
      </c>
      <c r="D264" s="114" t="str">
        <f>VLOOKUP(A264,P_DIS!$B$32:$Q$263,15)</f>
        <v>-</v>
      </c>
      <c r="E264" s="114" t="str">
        <f>VLOOKUP(A264,P_DIS!$B$32:$Q$263,14)</f>
        <v>-</v>
      </c>
      <c r="F264" s="114">
        <f>VLOOKUP(A264,P_DIS!$B$32:$Q$263,10)</f>
        <v>0</v>
      </c>
      <c r="G264" s="114" t="str">
        <f>VLOOKUP(A264,P_DIS!$B$32:$Q$263,11)</f>
        <v>-</v>
      </c>
      <c r="H264" s="114" t="str">
        <f>VLOOKUP(A264,P_DIS!$B$32:$Q$263,16)</f>
        <v>-</v>
      </c>
      <c r="I264" s="115" t="str">
        <f t="shared" si="106"/>
        <v/>
      </c>
      <c r="J264" s="116" t="str">
        <f t="shared" si="107"/>
        <v/>
      </c>
      <c r="K264" s="117" t="str">
        <f t="shared" si="108"/>
        <v/>
      </c>
      <c r="L264" s="118" t="str">
        <f t="shared" si="109"/>
        <v/>
      </c>
      <c r="M264" s="118" t="str">
        <f t="shared" si="110"/>
        <v/>
      </c>
      <c r="N264" s="118" t="str">
        <f t="shared" si="111"/>
        <v/>
      </c>
      <c r="O264" s="118" t="str">
        <f t="shared" si="112"/>
        <v/>
      </c>
      <c r="P264" s="118" t="str">
        <f t="shared" si="113"/>
        <v/>
      </c>
      <c r="Q264" s="118" t="str">
        <f t="shared" si="114"/>
        <v/>
      </c>
      <c r="R264" s="118" t="str">
        <f t="shared" si="115"/>
        <v/>
      </c>
      <c r="S264" s="118" t="str">
        <f t="shared" si="116"/>
        <v/>
      </c>
      <c r="T264" s="119" t="str">
        <f t="shared" si="99"/>
        <v/>
      </c>
      <c r="U264" s="119" t="str">
        <f t="shared" si="100"/>
        <v/>
      </c>
      <c r="V264" s="120" t="str">
        <f t="shared" si="101"/>
        <v/>
      </c>
      <c r="W264" s="120" t="str">
        <f t="shared" si="102"/>
        <v/>
      </c>
      <c r="X264" s="120" t="str">
        <f t="shared" si="103"/>
        <v/>
      </c>
      <c r="Y264" s="121" t="str">
        <f t="shared" si="104"/>
        <v/>
      </c>
      <c r="Z264" s="121" t="str">
        <f t="shared" si="105"/>
        <v/>
      </c>
      <c r="AA264" s="122">
        <v>1</v>
      </c>
      <c r="AB264" s="123">
        <v>1</v>
      </c>
      <c r="AC264" s="123" t="str">
        <f t="shared" si="117"/>
        <v/>
      </c>
      <c r="AD264" s="123" t="str">
        <f t="shared" si="118"/>
        <v/>
      </c>
      <c r="AE264" s="123" t="str">
        <f t="shared" si="119"/>
        <v/>
      </c>
      <c r="AF264" s="123" t="str">
        <f t="shared" si="120"/>
        <v/>
      </c>
      <c r="AG264" s="123" t="str">
        <f t="shared" si="121"/>
        <v/>
      </c>
      <c r="AH264" s="115" t="str">
        <f t="shared" si="122"/>
        <v/>
      </c>
      <c r="AI264" s="115" t="str">
        <f t="shared" si="123"/>
        <v/>
      </c>
      <c r="AJ264" s="115" t="str">
        <f t="shared" si="124"/>
        <v/>
      </c>
      <c r="AK264" s="115" t="str">
        <f t="shared" si="125"/>
        <v/>
      </c>
      <c r="AL264" s="115" t="str">
        <f t="shared" si="126"/>
        <v/>
      </c>
      <c r="AM264" s="115" t="str">
        <f t="shared" si="127"/>
        <v/>
      </c>
      <c r="AN264" s="115" t="str">
        <f t="shared" si="128"/>
        <v/>
      </c>
      <c r="AO264" s="3"/>
      <c r="AP264" s="3"/>
      <c r="AQ264" s="3"/>
      <c r="AR264" s="3"/>
      <c r="AS264" s="3"/>
      <c r="AT264" s="3"/>
      <c r="AU264" s="3"/>
      <c r="AZ264" s="1"/>
      <c r="BA264" s="1"/>
      <c r="BB264" s="1"/>
      <c r="BC264" s="1"/>
      <c r="BD264" s="1"/>
      <c r="BE264" s="1"/>
      <c r="BF264" s="1"/>
    </row>
    <row r="265" spans="1:58">
      <c r="A265" s="109">
        <v>141</v>
      </c>
      <c r="B265" s="114" t="str">
        <f>VLOOKUP(A265,P_DIS!$B$32:$Q$263,12)</f>
        <v>-</v>
      </c>
      <c r="C265" s="114" t="str">
        <f>VLOOKUP(A265,P_DIS!$B$32:$Q$263,13)</f>
        <v>-</v>
      </c>
      <c r="D265" s="114" t="str">
        <f>VLOOKUP(A265,P_DIS!$B$32:$Q$263,15)</f>
        <v>-</v>
      </c>
      <c r="E265" s="114" t="str">
        <f>VLOOKUP(A265,P_DIS!$B$32:$Q$263,14)</f>
        <v>-</v>
      </c>
      <c r="F265" s="114">
        <f>VLOOKUP(A265,P_DIS!$B$32:$Q$263,10)</f>
        <v>0</v>
      </c>
      <c r="G265" s="114" t="str">
        <f>VLOOKUP(A265,P_DIS!$B$32:$Q$263,11)</f>
        <v>-</v>
      </c>
      <c r="H265" s="114" t="str">
        <f>VLOOKUP(A265,P_DIS!$B$32:$Q$263,16)</f>
        <v>-</v>
      </c>
      <c r="I265" s="115" t="str">
        <f t="shared" si="106"/>
        <v/>
      </c>
      <c r="J265" s="116" t="str">
        <f t="shared" si="107"/>
        <v/>
      </c>
      <c r="K265" s="117" t="str">
        <f t="shared" si="108"/>
        <v/>
      </c>
      <c r="L265" s="118" t="str">
        <f t="shared" si="109"/>
        <v/>
      </c>
      <c r="M265" s="118" t="str">
        <f t="shared" si="110"/>
        <v/>
      </c>
      <c r="N265" s="118" t="str">
        <f t="shared" si="111"/>
        <v/>
      </c>
      <c r="O265" s="118" t="str">
        <f t="shared" si="112"/>
        <v/>
      </c>
      <c r="P265" s="118" t="str">
        <f t="shared" si="113"/>
        <v/>
      </c>
      <c r="Q265" s="118" t="str">
        <f t="shared" si="114"/>
        <v/>
      </c>
      <c r="R265" s="118" t="str">
        <f t="shared" si="115"/>
        <v/>
      </c>
      <c r="S265" s="118" t="str">
        <f t="shared" si="116"/>
        <v/>
      </c>
      <c r="T265" s="119" t="str">
        <f t="shared" si="99"/>
        <v/>
      </c>
      <c r="U265" s="119" t="str">
        <f t="shared" si="100"/>
        <v/>
      </c>
      <c r="V265" s="120" t="str">
        <f t="shared" si="101"/>
        <v/>
      </c>
      <c r="W265" s="120" t="str">
        <f t="shared" si="102"/>
        <v/>
      </c>
      <c r="X265" s="120" t="str">
        <f t="shared" si="103"/>
        <v/>
      </c>
      <c r="Y265" s="121" t="str">
        <f t="shared" si="104"/>
        <v/>
      </c>
      <c r="Z265" s="121" t="str">
        <f t="shared" si="105"/>
        <v/>
      </c>
      <c r="AA265" s="122">
        <v>1</v>
      </c>
      <c r="AB265" s="123">
        <v>1</v>
      </c>
      <c r="AC265" s="123" t="str">
        <f t="shared" si="117"/>
        <v/>
      </c>
      <c r="AD265" s="123" t="str">
        <f t="shared" si="118"/>
        <v/>
      </c>
      <c r="AE265" s="123" t="str">
        <f t="shared" si="119"/>
        <v/>
      </c>
      <c r="AF265" s="123" t="str">
        <f t="shared" si="120"/>
        <v/>
      </c>
      <c r="AG265" s="123" t="str">
        <f t="shared" si="121"/>
        <v/>
      </c>
      <c r="AH265" s="115" t="str">
        <f t="shared" si="122"/>
        <v/>
      </c>
      <c r="AI265" s="115" t="str">
        <f t="shared" si="123"/>
        <v/>
      </c>
      <c r="AJ265" s="115" t="str">
        <f t="shared" si="124"/>
        <v/>
      </c>
      <c r="AK265" s="115" t="str">
        <f t="shared" si="125"/>
        <v/>
      </c>
      <c r="AL265" s="115" t="str">
        <f t="shared" si="126"/>
        <v/>
      </c>
      <c r="AM265" s="115" t="str">
        <f t="shared" si="127"/>
        <v/>
      </c>
      <c r="AN265" s="115" t="str">
        <f t="shared" si="128"/>
        <v/>
      </c>
      <c r="AO265" s="3"/>
      <c r="AP265" s="3"/>
      <c r="AQ265" s="3"/>
      <c r="AR265" s="3"/>
      <c r="AS265" s="3"/>
      <c r="AT265" s="3"/>
      <c r="AU265" s="3"/>
      <c r="AZ265" s="1"/>
      <c r="BA265" s="1"/>
      <c r="BB265" s="1"/>
      <c r="BC265" s="1"/>
      <c r="BD265" s="1"/>
      <c r="BE265" s="1"/>
      <c r="BF265" s="1"/>
    </row>
    <row r="266" spans="1:58">
      <c r="A266" s="109">
        <v>142</v>
      </c>
      <c r="B266" s="114" t="str">
        <f>VLOOKUP(A266,P_DIS!$B$32:$Q$263,12)</f>
        <v>-</v>
      </c>
      <c r="C266" s="114" t="str">
        <f>VLOOKUP(A266,P_DIS!$B$32:$Q$263,13)</f>
        <v>-</v>
      </c>
      <c r="D266" s="114" t="str">
        <f>VLOOKUP(A266,P_DIS!$B$32:$Q$263,15)</f>
        <v>-</v>
      </c>
      <c r="E266" s="114" t="str">
        <f>VLOOKUP(A266,P_DIS!$B$32:$Q$263,14)</f>
        <v>-</v>
      </c>
      <c r="F266" s="114">
        <f>VLOOKUP(A266,P_DIS!$B$32:$Q$263,10)</f>
        <v>0</v>
      </c>
      <c r="G266" s="114" t="str">
        <f>VLOOKUP(A266,P_DIS!$B$32:$Q$263,11)</f>
        <v>-</v>
      </c>
      <c r="H266" s="114" t="str">
        <f>VLOOKUP(A266,P_DIS!$B$32:$Q$263,16)</f>
        <v>-</v>
      </c>
      <c r="I266" s="115" t="str">
        <f t="shared" si="106"/>
        <v/>
      </c>
      <c r="J266" s="116" t="str">
        <f t="shared" si="107"/>
        <v/>
      </c>
      <c r="K266" s="117" t="str">
        <f t="shared" si="108"/>
        <v/>
      </c>
      <c r="L266" s="118" t="str">
        <f t="shared" si="109"/>
        <v/>
      </c>
      <c r="M266" s="118" t="str">
        <f t="shared" si="110"/>
        <v/>
      </c>
      <c r="N266" s="118" t="str">
        <f t="shared" si="111"/>
        <v/>
      </c>
      <c r="O266" s="118" t="str">
        <f t="shared" si="112"/>
        <v/>
      </c>
      <c r="P266" s="118" t="str">
        <f t="shared" si="113"/>
        <v/>
      </c>
      <c r="Q266" s="118" t="str">
        <f t="shared" si="114"/>
        <v/>
      </c>
      <c r="R266" s="118" t="str">
        <f t="shared" si="115"/>
        <v/>
      </c>
      <c r="S266" s="118" t="str">
        <f t="shared" si="116"/>
        <v/>
      </c>
      <c r="T266" s="119" t="str">
        <f t="shared" si="99"/>
        <v/>
      </c>
      <c r="U266" s="119" t="str">
        <f t="shared" si="100"/>
        <v/>
      </c>
      <c r="V266" s="120" t="str">
        <f t="shared" si="101"/>
        <v/>
      </c>
      <c r="W266" s="120" t="str">
        <f t="shared" si="102"/>
        <v/>
      </c>
      <c r="X266" s="120" t="str">
        <f t="shared" si="103"/>
        <v/>
      </c>
      <c r="Y266" s="121" t="str">
        <f t="shared" si="104"/>
        <v/>
      </c>
      <c r="Z266" s="121" t="str">
        <f t="shared" si="105"/>
        <v/>
      </c>
      <c r="AA266" s="122">
        <v>1</v>
      </c>
      <c r="AB266" s="123">
        <v>1</v>
      </c>
      <c r="AC266" s="123" t="str">
        <f t="shared" si="117"/>
        <v/>
      </c>
      <c r="AD266" s="123" t="str">
        <f t="shared" si="118"/>
        <v/>
      </c>
      <c r="AE266" s="123" t="str">
        <f t="shared" si="119"/>
        <v/>
      </c>
      <c r="AF266" s="123" t="str">
        <f t="shared" si="120"/>
        <v/>
      </c>
      <c r="AG266" s="123" t="str">
        <f t="shared" si="121"/>
        <v/>
      </c>
      <c r="AH266" s="115" t="str">
        <f t="shared" si="122"/>
        <v/>
      </c>
      <c r="AI266" s="115" t="str">
        <f t="shared" si="123"/>
        <v/>
      </c>
      <c r="AJ266" s="115" t="str">
        <f t="shared" si="124"/>
        <v/>
      </c>
      <c r="AK266" s="115" t="str">
        <f t="shared" si="125"/>
        <v/>
      </c>
      <c r="AL266" s="115" t="str">
        <f t="shared" si="126"/>
        <v/>
      </c>
      <c r="AM266" s="115" t="str">
        <f t="shared" si="127"/>
        <v/>
      </c>
      <c r="AN266" s="115" t="str">
        <f t="shared" si="128"/>
        <v/>
      </c>
      <c r="AO266" s="3"/>
      <c r="AP266" s="3"/>
      <c r="AQ266" s="3"/>
      <c r="AR266" s="3"/>
      <c r="AS266" s="3"/>
      <c r="AT266" s="3"/>
      <c r="AU266" s="3"/>
      <c r="AZ266" s="1"/>
      <c r="BA266" s="1"/>
      <c r="BB266" s="1"/>
      <c r="BC266" s="1"/>
      <c r="BD266" s="1"/>
      <c r="BE266" s="1"/>
      <c r="BF266" s="1"/>
    </row>
    <row r="267" spans="1:58">
      <c r="A267" s="109">
        <v>143</v>
      </c>
      <c r="B267" s="114" t="str">
        <f>VLOOKUP(A267,P_DIS!$B$32:$Q$263,12)</f>
        <v>-</v>
      </c>
      <c r="C267" s="114" t="str">
        <f>VLOOKUP(A267,P_DIS!$B$32:$Q$263,13)</f>
        <v>-</v>
      </c>
      <c r="D267" s="114" t="str">
        <f>VLOOKUP(A267,P_DIS!$B$32:$Q$263,15)</f>
        <v>-</v>
      </c>
      <c r="E267" s="114" t="str">
        <f>VLOOKUP(A267,P_DIS!$B$32:$Q$263,14)</f>
        <v>-</v>
      </c>
      <c r="F267" s="114">
        <f>VLOOKUP(A267,P_DIS!$B$32:$Q$263,10)</f>
        <v>0</v>
      </c>
      <c r="G267" s="114" t="str">
        <f>VLOOKUP(A267,P_DIS!$B$32:$Q$263,11)</f>
        <v>-</v>
      </c>
      <c r="H267" s="114" t="str">
        <f>VLOOKUP(A267,P_DIS!$B$32:$Q$263,16)</f>
        <v>-</v>
      </c>
      <c r="I267" s="115" t="str">
        <f t="shared" si="106"/>
        <v/>
      </c>
      <c r="J267" s="116" t="str">
        <f t="shared" si="107"/>
        <v/>
      </c>
      <c r="K267" s="117" t="str">
        <f t="shared" si="108"/>
        <v/>
      </c>
      <c r="L267" s="118" t="str">
        <f t="shared" si="109"/>
        <v/>
      </c>
      <c r="M267" s="118" t="str">
        <f t="shared" si="110"/>
        <v/>
      </c>
      <c r="N267" s="118" t="str">
        <f t="shared" si="111"/>
        <v/>
      </c>
      <c r="O267" s="118" t="str">
        <f t="shared" si="112"/>
        <v/>
      </c>
      <c r="P267" s="118" t="str">
        <f t="shared" si="113"/>
        <v/>
      </c>
      <c r="Q267" s="118" t="str">
        <f t="shared" si="114"/>
        <v/>
      </c>
      <c r="R267" s="118" t="str">
        <f t="shared" si="115"/>
        <v/>
      </c>
      <c r="S267" s="118" t="str">
        <f t="shared" si="116"/>
        <v/>
      </c>
      <c r="T267" s="119" t="str">
        <f t="shared" si="99"/>
        <v/>
      </c>
      <c r="U267" s="119" t="str">
        <f t="shared" si="100"/>
        <v/>
      </c>
      <c r="V267" s="120" t="str">
        <f t="shared" si="101"/>
        <v/>
      </c>
      <c r="W267" s="120" t="str">
        <f t="shared" si="102"/>
        <v/>
      </c>
      <c r="X267" s="120" t="str">
        <f t="shared" si="103"/>
        <v/>
      </c>
      <c r="Y267" s="121" t="str">
        <f t="shared" si="104"/>
        <v/>
      </c>
      <c r="Z267" s="121" t="str">
        <f t="shared" si="105"/>
        <v/>
      </c>
      <c r="AA267" s="122">
        <v>1</v>
      </c>
      <c r="AB267" s="123">
        <v>1</v>
      </c>
      <c r="AC267" s="123" t="str">
        <f t="shared" si="117"/>
        <v/>
      </c>
      <c r="AD267" s="123" t="str">
        <f t="shared" si="118"/>
        <v/>
      </c>
      <c r="AE267" s="123" t="str">
        <f t="shared" si="119"/>
        <v/>
      </c>
      <c r="AF267" s="123" t="str">
        <f t="shared" si="120"/>
        <v/>
      </c>
      <c r="AG267" s="123" t="str">
        <f t="shared" si="121"/>
        <v/>
      </c>
      <c r="AH267" s="115" t="str">
        <f t="shared" si="122"/>
        <v/>
      </c>
      <c r="AI267" s="115" t="str">
        <f t="shared" si="123"/>
        <v/>
      </c>
      <c r="AJ267" s="115" t="str">
        <f t="shared" si="124"/>
        <v/>
      </c>
      <c r="AK267" s="115" t="str">
        <f t="shared" si="125"/>
        <v/>
      </c>
      <c r="AL267" s="115" t="str">
        <f t="shared" si="126"/>
        <v/>
      </c>
      <c r="AM267" s="115" t="str">
        <f t="shared" si="127"/>
        <v/>
      </c>
      <c r="AN267" s="115" t="str">
        <f t="shared" si="128"/>
        <v/>
      </c>
      <c r="AO267" s="3"/>
      <c r="AP267" s="3"/>
      <c r="AQ267" s="3"/>
      <c r="AR267" s="3"/>
      <c r="AS267" s="3"/>
      <c r="AT267" s="3"/>
      <c r="AU267" s="3"/>
      <c r="AZ267" s="1"/>
      <c r="BA267" s="1"/>
      <c r="BB267" s="1"/>
      <c r="BC267" s="1"/>
      <c r="BD267" s="1"/>
      <c r="BE267" s="1"/>
      <c r="BF267" s="1"/>
    </row>
    <row r="268" spans="1:58">
      <c r="A268" s="109">
        <v>144</v>
      </c>
      <c r="B268" s="114" t="str">
        <f>VLOOKUP(A268,P_DIS!$B$32:$Q$263,12)</f>
        <v>-</v>
      </c>
      <c r="C268" s="114" t="str">
        <f>VLOOKUP(A268,P_DIS!$B$32:$Q$263,13)</f>
        <v>-</v>
      </c>
      <c r="D268" s="114" t="str">
        <f>VLOOKUP(A268,P_DIS!$B$32:$Q$263,15)</f>
        <v>-</v>
      </c>
      <c r="E268" s="114" t="str">
        <f>VLOOKUP(A268,P_DIS!$B$32:$Q$263,14)</f>
        <v>-</v>
      </c>
      <c r="F268" s="114">
        <f>VLOOKUP(A268,P_DIS!$B$32:$Q$263,10)</f>
        <v>0</v>
      </c>
      <c r="G268" s="114" t="str">
        <f>VLOOKUP(A268,P_DIS!$B$32:$Q$263,11)</f>
        <v>-</v>
      </c>
      <c r="H268" s="114" t="str">
        <f>VLOOKUP(A268,P_DIS!$B$32:$Q$263,16)</f>
        <v>-</v>
      </c>
      <c r="I268" s="115" t="str">
        <f t="shared" si="106"/>
        <v/>
      </c>
      <c r="J268" s="116" t="str">
        <f t="shared" si="107"/>
        <v/>
      </c>
      <c r="K268" s="117" t="str">
        <f t="shared" si="108"/>
        <v/>
      </c>
      <c r="L268" s="118" t="str">
        <f t="shared" si="109"/>
        <v/>
      </c>
      <c r="M268" s="118" t="str">
        <f t="shared" si="110"/>
        <v/>
      </c>
      <c r="N268" s="118" t="str">
        <f t="shared" si="111"/>
        <v/>
      </c>
      <c r="O268" s="118" t="str">
        <f t="shared" si="112"/>
        <v/>
      </c>
      <c r="P268" s="118" t="str">
        <f t="shared" si="113"/>
        <v/>
      </c>
      <c r="Q268" s="118" t="str">
        <f t="shared" si="114"/>
        <v/>
      </c>
      <c r="R268" s="118" t="str">
        <f t="shared" si="115"/>
        <v/>
      </c>
      <c r="S268" s="118" t="str">
        <f t="shared" si="116"/>
        <v/>
      </c>
      <c r="T268" s="119" t="str">
        <f t="shared" si="99"/>
        <v/>
      </c>
      <c r="U268" s="119" t="str">
        <f t="shared" si="100"/>
        <v/>
      </c>
      <c r="V268" s="120" t="str">
        <f t="shared" si="101"/>
        <v/>
      </c>
      <c r="W268" s="120" t="str">
        <f t="shared" si="102"/>
        <v/>
      </c>
      <c r="X268" s="120" t="str">
        <f t="shared" si="103"/>
        <v/>
      </c>
      <c r="Y268" s="121" t="str">
        <f t="shared" si="104"/>
        <v/>
      </c>
      <c r="Z268" s="121" t="str">
        <f t="shared" si="105"/>
        <v/>
      </c>
      <c r="AA268" s="122">
        <v>1</v>
      </c>
      <c r="AB268" s="123">
        <v>1</v>
      </c>
      <c r="AC268" s="123" t="str">
        <f t="shared" si="117"/>
        <v/>
      </c>
      <c r="AD268" s="123" t="str">
        <f t="shared" si="118"/>
        <v/>
      </c>
      <c r="AE268" s="123" t="str">
        <f t="shared" si="119"/>
        <v/>
      </c>
      <c r="AF268" s="123" t="str">
        <f t="shared" si="120"/>
        <v/>
      </c>
      <c r="AG268" s="123" t="str">
        <f t="shared" si="121"/>
        <v/>
      </c>
      <c r="AH268" s="115" t="str">
        <f t="shared" si="122"/>
        <v/>
      </c>
      <c r="AI268" s="115" t="str">
        <f t="shared" si="123"/>
        <v/>
      </c>
      <c r="AJ268" s="115" t="str">
        <f t="shared" si="124"/>
        <v/>
      </c>
      <c r="AK268" s="115" t="str">
        <f t="shared" si="125"/>
        <v/>
      </c>
      <c r="AL268" s="115" t="str">
        <f t="shared" si="126"/>
        <v/>
      </c>
      <c r="AM268" s="115" t="str">
        <f t="shared" si="127"/>
        <v/>
      </c>
      <c r="AN268" s="115" t="str">
        <f t="shared" si="128"/>
        <v/>
      </c>
      <c r="AO268" s="3"/>
      <c r="AP268" s="3"/>
      <c r="AQ268" s="3"/>
      <c r="AR268" s="3"/>
      <c r="AS268" s="3"/>
      <c r="AT268" s="3"/>
      <c r="AU268" s="3"/>
      <c r="AZ268" s="1"/>
      <c r="BA268" s="1"/>
      <c r="BB268" s="1"/>
      <c r="BC268" s="1"/>
      <c r="BD268" s="1"/>
      <c r="BE268" s="1"/>
      <c r="BF268" s="1"/>
    </row>
    <row r="269" spans="1:58">
      <c r="A269" s="109">
        <v>145</v>
      </c>
      <c r="B269" s="114" t="str">
        <f>VLOOKUP(A269,P_DIS!$B$32:$Q$263,12)</f>
        <v>-</v>
      </c>
      <c r="C269" s="114" t="str">
        <f>VLOOKUP(A269,P_DIS!$B$32:$Q$263,13)</f>
        <v>-</v>
      </c>
      <c r="D269" s="114" t="str">
        <f>VLOOKUP(A269,P_DIS!$B$32:$Q$263,15)</f>
        <v>-</v>
      </c>
      <c r="E269" s="114" t="str">
        <f>VLOOKUP(A269,P_DIS!$B$32:$Q$263,14)</f>
        <v>-</v>
      </c>
      <c r="F269" s="114">
        <f>VLOOKUP(A269,P_DIS!$B$32:$Q$263,10)</f>
        <v>0</v>
      </c>
      <c r="G269" s="114" t="str">
        <f>VLOOKUP(A269,P_DIS!$B$32:$Q$263,11)</f>
        <v>-</v>
      </c>
      <c r="H269" s="114" t="str">
        <f>VLOOKUP(A269,P_DIS!$B$32:$Q$263,16)</f>
        <v>-</v>
      </c>
      <c r="I269" s="115" t="str">
        <f t="shared" si="106"/>
        <v/>
      </c>
      <c r="J269" s="116" t="str">
        <f t="shared" si="107"/>
        <v/>
      </c>
      <c r="K269" s="117" t="str">
        <f t="shared" si="108"/>
        <v/>
      </c>
      <c r="L269" s="118" t="str">
        <f t="shared" si="109"/>
        <v/>
      </c>
      <c r="M269" s="118" t="str">
        <f t="shared" si="110"/>
        <v/>
      </c>
      <c r="N269" s="118" t="str">
        <f t="shared" si="111"/>
        <v/>
      </c>
      <c r="O269" s="118" t="str">
        <f t="shared" si="112"/>
        <v/>
      </c>
      <c r="P269" s="118" t="str">
        <f t="shared" si="113"/>
        <v/>
      </c>
      <c r="Q269" s="118" t="str">
        <f t="shared" si="114"/>
        <v/>
      </c>
      <c r="R269" s="118" t="str">
        <f t="shared" si="115"/>
        <v/>
      </c>
      <c r="S269" s="118" t="str">
        <f t="shared" si="116"/>
        <v/>
      </c>
      <c r="T269" s="119" t="str">
        <f t="shared" si="99"/>
        <v/>
      </c>
      <c r="U269" s="119" t="str">
        <f t="shared" si="100"/>
        <v/>
      </c>
      <c r="V269" s="120" t="str">
        <f t="shared" si="101"/>
        <v/>
      </c>
      <c r="W269" s="120" t="str">
        <f t="shared" si="102"/>
        <v/>
      </c>
      <c r="X269" s="120" t="str">
        <f t="shared" si="103"/>
        <v/>
      </c>
      <c r="Y269" s="121" t="str">
        <f t="shared" si="104"/>
        <v/>
      </c>
      <c r="Z269" s="121" t="str">
        <f t="shared" si="105"/>
        <v/>
      </c>
      <c r="AA269" s="122">
        <v>1</v>
      </c>
      <c r="AB269" s="123">
        <v>1</v>
      </c>
      <c r="AC269" s="123" t="str">
        <f t="shared" si="117"/>
        <v/>
      </c>
      <c r="AD269" s="123" t="str">
        <f t="shared" si="118"/>
        <v/>
      </c>
      <c r="AE269" s="123" t="str">
        <f t="shared" si="119"/>
        <v/>
      </c>
      <c r="AF269" s="123" t="str">
        <f t="shared" si="120"/>
        <v/>
      </c>
      <c r="AG269" s="123" t="str">
        <f t="shared" si="121"/>
        <v/>
      </c>
      <c r="AH269" s="115" t="str">
        <f t="shared" si="122"/>
        <v/>
      </c>
      <c r="AI269" s="115" t="str">
        <f t="shared" si="123"/>
        <v/>
      </c>
      <c r="AJ269" s="115" t="str">
        <f t="shared" si="124"/>
        <v/>
      </c>
      <c r="AK269" s="115" t="str">
        <f t="shared" si="125"/>
        <v/>
      </c>
      <c r="AL269" s="115" t="str">
        <f t="shared" si="126"/>
        <v/>
      </c>
      <c r="AM269" s="115" t="str">
        <f t="shared" si="127"/>
        <v/>
      </c>
      <c r="AN269" s="115" t="str">
        <f t="shared" si="128"/>
        <v/>
      </c>
      <c r="AO269" s="3"/>
      <c r="AP269" s="3"/>
      <c r="AQ269" s="3"/>
      <c r="AR269" s="3"/>
      <c r="AS269" s="3"/>
      <c r="AT269" s="3"/>
      <c r="AU269" s="3"/>
      <c r="AZ269" s="1"/>
      <c r="BA269" s="1"/>
      <c r="BB269" s="1"/>
      <c r="BC269" s="1"/>
      <c r="BD269" s="1"/>
      <c r="BE269" s="1"/>
      <c r="BF269" s="1"/>
    </row>
    <row r="270" spans="1:58">
      <c r="A270" s="109">
        <v>146</v>
      </c>
      <c r="B270" s="114" t="str">
        <f>VLOOKUP(A270,P_DIS!$B$32:$Q$263,12)</f>
        <v>-</v>
      </c>
      <c r="C270" s="114" t="str">
        <f>VLOOKUP(A270,P_DIS!$B$32:$Q$263,13)</f>
        <v>-</v>
      </c>
      <c r="D270" s="114" t="str">
        <f>VLOOKUP(A270,P_DIS!$B$32:$Q$263,15)</f>
        <v>-</v>
      </c>
      <c r="E270" s="114" t="str">
        <f>VLOOKUP(A270,P_DIS!$B$32:$Q$263,14)</f>
        <v>-</v>
      </c>
      <c r="F270" s="114">
        <f>VLOOKUP(A270,P_DIS!$B$32:$Q$263,10)</f>
        <v>0</v>
      </c>
      <c r="G270" s="114" t="str">
        <f>VLOOKUP(A270,P_DIS!$B$32:$Q$263,11)</f>
        <v>-</v>
      </c>
      <c r="H270" s="114" t="str">
        <f>VLOOKUP(A270,P_DIS!$B$32:$Q$263,16)</f>
        <v>-</v>
      </c>
      <c r="I270" s="115" t="str">
        <f t="shared" si="106"/>
        <v/>
      </c>
      <c r="J270" s="116" t="str">
        <f t="shared" si="107"/>
        <v/>
      </c>
      <c r="K270" s="117" t="str">
        <f t="shared" si="108"/>
        <v/>
      </c>
      <c r="L270" s="118" t="str">
        <f t="shared" si="109"/>
        <v/>
      </c>
      <c r="M270" s="118" t="str">
        <f t="shared" si="110"/>
        <v/>
      </c>
      <c r="N270" s="118" t="str">
        <f t="shared" si="111"/>
        <v/>
      </c>
      <c r="O270" s="118" t="str">
        <f t="shared" si="112"/>
        <v/>
      </c>
      <c r="P270" s="118" t="str">
        <f t="shared" si="113"/>
        <v/>
      </c>
      <c r="Q270" s="118" t="str">
        <f t="shared" si="114"/>
        <v/>
      </c>
      <c r="R270" s="118" t="str">
        <f t="shared" si="115"/>
        <v/>
      </c>
      <c r="S270" s="118" t="str">
        <f t="shared" si="116"/>
        <v/>
      </c>
      <c r="T270" s="119" t="str">
        <f t="shared" si="99"/>
        <v/>
      </c>
      <c r="U270" s="119" t="str">
        <f t="shared" si="100"/>
        <v/>
      </c>
      <c r="V270" s="120" t="str">
        <f t="shared" si="101"/>
        <v/>
      </c>
      <c r="W270" s="120" t="str">
        <f t="shared" si="102"/>
        <v/>
      </c>
      <c r="X270" s="120" t="str">
        <f t="shared" si="103"/>
        <v/>
      </c>
      <c r="Y270" s="121" t="str">
        <f t="shared" si="104"/>
        <v/>
      </c>
      <c r="Z270" s="121" t="str">
        <f t="shared" si="105"/>
        <v/>
      </c>
      <c r="AA270" s="122">
        <v>1</v>
      </c>
      <c r="AB270" s="123">
        <v>1</v>
      </c>
      <c r="AC270" s="123" t="str">
        <f t="shared" si="117"/>
        <v/>
      </c>
      <c r="AD270" s="123" t="str">
        <f t="shared" si="118"/>
        <v/>
      </c>
      <c r="AE270" s="123" t="str">
        <f t="shared" si="119"/>
        <v/>
      </c>
      <c r="AF270" s="123" t="str">
        <f t="shared" si="120"/>
        <v/>
      </c>
      <c r="AG270" s="123" t="str">
        <f t="shared" si="121"/>
        <v/>
      </c>
      <c r="AH270" s="115" t="str">
        <f t="shared" si="122"/>
        <v/>
      </c>
      <c r="AI270" s="115" t="str">
        <f t="shared" si="123"/>
        <v/>
      </c>
      <c r="AJ270" s="115" t="str">
        <f t="shared" si="124"/>
        <v/>
      </c>
      <c r="AK270" s="115" t="str">
        <f t="shared" si="125"/>
        <v/>
      </c>
      <c r="AL270" s="115" t="str">
        <f t="shared" si="126"/>
        <v/>
      </c>
      <c r="AM270" s="115" t="str">
        <f t="shared" si="127"/>
        <v/>
      </c>
      <c r="AN270" s="115" t="str">
        <f t="shared" si="128"/>
        <v/>
      </c>
      <c r="AO270" s="3"/>
      <c r="AP270" s="3"/>
      <c r="AQ270" s="3"/>
      <c r="AR270" s="3"/>
      <c r="AS270" s="3"/>
      <c r="AT270" s="3"/>
      <c r="AU270" s="3"/>
      <c r="AZ270" s="1"/>
      <c r="BA270" s="1"/>
      <c r="BB270" s="1"/>
      <c r="BC270" s="1"/>
      <c r="BD270" s="1"/>
      <c r="BE270" s="1"/>
      <c r="BF270" s="1"/>
    </row>
    <row r="271" spans="1:58">
      <c r="A271" s="109">
        <v>147</v>
      </c>
      <c r="B271" s="114" t="str">
        <f>VLOOKUP(A271,P_DIS!$B$32:$Q$263,12)</f>
        <v>-</v>
      </c>
      <c r="C271" s="114" t="str">
        <f>VLOOKUP(A271,P_DIS!$B$32:$Q$263,13)</f>
        <v>-</v>
      </c>
      <c r="D271" s="114" t="str">
        <f>VLOOKUP(A271,P_DIS!$B$32:$Q$263,15)</f>
        <v>-</v>
      </c>
      <c r="E271" s="114" t="str">
        <f>VLOOKUP(A271,P_DIS!$B$32:$Q$263,14)</f>
        <v>-</v>
      </c>
      <c r="F271" s="114">
        <f>VLOOKUP(A271,P_DIS!$B$32:$Q$263,10)</f>
        <v>0</v>
      </c>
      <c r="G271" s="114" t="str">
        <f>VLOOKUP(A271,P_DIS!$B$32:$Q$263,11)</f>
        <v>-</v>
      </c>
      <c r="H271" s="114" t="str">
        <f>VLOOKUP(A271,P_DIS!$B$32:$Q$263,16)</f>
        <v>-</v>
      </c>
      <c r="I271" s="115" t="str">
        <f t="shared" si="106"/>
        <v/>
      </c>
      <c r="J271" s="116" t="str">
        <f t="shared" si="107"/>
        <v/>
      </c>
      <c r="K271" s="117" t="str">
        <f t="shared" si="108"/>
        <v/>
      </c>
      <c r="L271" s="118" t="str">
        <f t="shared" si="109"/>
        <v/>
      </c>
      <c r="M271" s="118" t="str">
        <f t="shared" si="110"/>
        <v/>
      </c>
      <c r="N271" s="118" t="str">
        <f t="shared" si="111"/>
        <v/>
      </c>
      <c r="O271" s="118" t="str">
        <f t="shared" si="112"/>
        <v/>
      </c>
      <c r="P271" s="118" t="str">
        <f t="shared" si="113"/>
        <v/>
      </c>
      <c r="Q271" s="118" t="str">
        <f t="shared" si="114"/>
        <v/>
      </c>
      <c r="R271" s="118" t="str">
        <f t="shared" si="115"/>
        <v/>
      </c>
      <c r="S271" s="118" t="str">
        <f t="shared" si="116"/>
        <v/>
      </c>
      <c r="T271" s="119" t="str">
        <f t="shared" si="99"/>
        <v/>
      </c>
      <c r="U271" s="119" t="str">
        <f t="shared" si="100"/>
        <v/>
      </c>
      <c r="V271" s="120" t="str">
        <f t="shared" si="101"/>
        <v/>
      </c>
      <c r="W271" s="120" t="str">
        <f t="shared" si="102"/>
        <v/>
      </c>
      <c r="X271" s="120" t="str">
        <f t="shared" si="103"/>
        <v/>
      </c>
      <c r="Y271" s="121" t="str">
        <f t="shared" si="104"/>
        <v/>
      </c>
      <c r="Z271" s="121" t="str">
        <f t="shared" si="105"/>
        <v/>
      </c>
      <c r="AA271" s="122">
        <v>1</v>
      </c>
      <c r="AB271" s="123">
        <v>1</v>
      </c>
      <c r="AC271" s="123" t="str">
        <f t="shared" si="117"/>
        <v/>
      </c>
      <c r="AD271" s="123" t="str">
        <f t="shared" si="118"/>
        <v/>
      </c>
      <c r="AE271" s="123" t="str">
        <f t="shared" si="119"/>
        <v/>
      </c>
      <c r="AF271" s="123" t="str">
        <f t="shared" si="120"/>
        <v/>
      </c>
      <c r="AG271" s="123" t="str">
        <f t="shared" si="121"/>
        <v/>
      </c>
      <c r="AH271" s="115" t="str">
        <f t="shared" si="122"/>
        <v/>
      </c>
      <c r="AI271" s="115" t="str">
        <f t="shared" si="123"/>
        <v/>
      </c>
      <c r="AJ271" s="115" t="str">
        <f t="shared" si="124"/>
        <v/>
      </c>
      <c r="AK271" s="115" t="str">
        <f t="shared" si="125"/>
        <v/>
      </c>
      <c r="AL271" s="115" t="str">
        <f t="shared" si="126"/>
        <v/>
      </c>
      <c r="AM271" s="115" t="str">
        <f t="shared" si="127"/>
        <v/>
      </c>
      <c r="AN271" s="115" t="str">
        <f t="shared" si="128"/>
        <v/>
      </c>
      <c r="AO271" s="3"/>
      <c r="AP271" s="3"/>
      <c r="AQ271" s="3"/>
      <c r="AR271" s="3"/>
      <c r="AS271" s="3"/>
      <c r="AT271" s="3"/>
      <c r="AU271" s="3"/>
      <c r="AZ271" s="1"/>
      <c r="BA271" s="1"/>
      <c r="BB271" s="1"/>
      <c r="BC271" s="1"/>
      <c r="BD271" s="1"/>
      <c r="BE271" s="1"/>
      <c r="BF271" s="1"/>
    </row>
    <row r="272" spans="1:58">
      <c r="A272" s="109">
        <v>148</v>
      </c>
      <c r="B272" s="114" t="str">
        <f>VLOOKUP(A272,P_DIS!$B$32:$Q$263,12)</f>
        <v>-</v>
      </c>
      <c r="C272" s="114" t="str">
        <f>VLOOKUP(A272,P_DIS!$B$32:$Q$263,13)</f>
        <v>-</v>
      </c>
      <c r="D272" s="114" t="str">
        <f>VLOOKUP(A272,P_DIS!$B$32:$Q$263,15)</f>
        <v>-</v>
      </c>
      <c r="E272" s="114" t="str">
        <f>VLOOKUP(A272,P_DIS!$B$32:$Q$263,14)</f>
        <v>-</v>
      </c>
      <c r="F272" s="114">
        <f>VLOOKUP(A272,P_DIS!$B$32:$Q$263,10)</f>
        <v>0</v>
      </c>
      <c r="G272" s="114" t="str">
        <f>VLOOKUP(A272,P_DIS!$B$32:$Q$263,11)</f>
        <v>-</v>
      </c>
      <c r="H272" s="114" t="str">
        <f>VLOOKUP(A272,P_DIS!$B$32:$Q$263,16)</f>
        <v>-</v>
      </c>
      <c r="I272" s="115" t="str">
        <f t="shared" si="106"/>
        <v/>
      </c>
      <c r="J272" s="116" t="str">
        <f t="shared" si="107"/>
        <v/>
      </c>
      <c r="K272" s="117" t="str">
        <f t="shared" si="108"/>
        <v/>
      </c>
      <c r="L272" s="118" t="str">
        <f t="shared" si="109"/>
        <v/>
      </c>
      <c r="M272" s="118" t="str">
        <f t="shared" si="110"/>
        <v/>
      </c>
      <c r="N272" s="118" t="str">
        <f t="shared" si="111"/>
        <v/>
      </c>
      <c r="O272" s="118" t="str">
        <f t="shared" si="112"/>
        <v/>
      </c>
      <c r="P272" s="118" t="str">
        <f t="shared" si="113"/>
        <v/>
      </c>
      <c r="Q272" s="118" t="str">
        <f t="shared" si="114"/>
        <v/>
      </c>
      <c r="R272" s="118" t="str">
        <f t="shared" si="115"/>
        <v/>
      </c>
      <c r="S272" s="118" t="str">
        <f t="shared" si="116"/>
        <v/>
      </c>
      <c r="T272" s="119" t="str">
        <f t="shared" si="99"/>
        <v/>
      </c>
      <c r="U272" s="119" t="str">
        <f t="shared" si="100"/>
        <v/>
      </c>
      <c r="V272" s="120" t="str">
        <f t="shared" si="101"/>
        <v/>
      </c>
      <c r="W272" s="120" t="str">
        <f t="shared" si="102"/>
        <v/>
      </c>
      <c r="X272" s="120" t="str">
        <f t="shared" si="103"/>
        <v/>
      </c>
      <c r="Y272" s="121" t="str">
        <f t="shared" si="104"/>
        <v/>
      </c>
      <c r="Z272" s="121" t="str">
        <f t="shared" si="105"/>
        <v/>
      </c>
      <c r="AA272" s="122">
        <v>1</v>
      </c>
      <c r="AB272" s="123">
        <v>1</v>
      </c>
      <c r="AC272" s="123" t="str">
        <f t="shared" si="117"/>
        <v/>
      </c>
      <c r="AD272" s="123" t="str">
        <f t="shared" si="118"/>
        <v/>
      </c>
      <c r="AE272" s="123" t="str">
        <f t="shared" si="119"/>
        <v/>
      </c>
      <c r="AF272" s="123" t="str">
        <f t="shared" si="120"/>
        <v/>
      </c>
      <c r="AG272" s="123" t="str">
        <f t="shared" si="121"/>
        <v/>
      </c>
      <c r="AH272" s="115" t="str">
        <f t="shared" si="122"/>
        <v/>
      </c>
      <c r="AI272" s="115" t="str">
        <f t="shared" si="123"/>
        <v/>
      </c>
      <c r="AJ272" s="115" t="str">
        <f t="shared" si="124"/>
        <v/>
      </c>
      <c r="AK272" s="115" t="str">
        <f t="shared" si="125"/>
        <v/>
      </c>
      <c r="AL272" s="115" t="str">
        <f t="shared" si="126"/>
        <v/>
      </c>
      <c r="AM272" s="115" t="str">
        <f t="shared" si="127"/>
        <v/>
      </c>
      <c r="AN272" s="115" t="str">
        <f t="shared" si="128"/>
        <v/>
      </c>
      <c r="AO272" s="3"/>
      <c r="AP272" s="3"/>
      <c r="AQ272" s="3"/>
      <c r="AR272" s="3"/>
      <c r="AS272" s="3"/>
      <c r="AT272" s="3"/>
      <c r="AU272" s="3"/>
      <c r="AZ272" s="1"/>
      <c r="BA272" s="1"/>
      <c r="BB272" s="1"/>
      <c r="BC272" s="1"/>
      <c r="BD272" s="1"/>
      <c r="BE272" s="1"/>
      <c r="BF272" s="1"/>
    </row>
    <row r="273" spans="1:58">
      <c r="A273" s="109">
        <v>149</v>
      </c>
      <c r="B273" s="114" t="str">
        <f>VLOOKUP(A273,P_DIS!$B$32:$Q$263,12)</f>
        <v>-</v>
      </c>
      <c r="C273" s="114" t="str">
        <f>VLOOKUP(A273,P_DIS!$B$32:$Q$263,13)</f>
        <v>-</v>
      </c>
      <c r="D273" s="114" t="str">
        <f>VLOOKUP(A273,P_DIS!$B$32:$Q$263,15)</f>
        <v>-</v>
      </c>
      <c r="E273" s="114" t="str">
        <f>VLOOKUP(A273,P_DIS!$B$32:$Q$263,14)</f>
        <v>-</v>
      </c>
      <c r="F273" s="114">
        <f>VLOOKUP(A273,P_DIS!$B$32:$Q$263,10)</f>
        <v>0</v>
      </c>
      <c r="G273" s="114" t="str">
        <f>VLOOKUP(A273,P_DIS!$B$32:$Q$263,11)</f>
        <v>-</v>
      </c>
      <c r="H273" s="114" t="str">
        <f>VLOOKUP(A273,P_DIS!$B$32:$Q$263,16)</f>
        <v>-</v>
      </c>
      <c r="I273" s="115" t="str">
        <f t="shared" si="106"/>
        <v/>
      </c>
      <c r="J273" s="116" t="str">
        <f t="shared" si="107"/>
        <v/>
      </c>
      <c r="K273" s="117" t="str">
        <f t="shared" si="108"/>
        <v/>
      </c>
      <c r="L273" s="118" t="str">
        <f t="shared" si="109"/>
        <v/>
      </c>
      <c r="M273" s="118" t="str">
        <f t="shared" si="110"/>
        <v/>
      </c>
      <c r="N273" s="118" t="str">
        <f t="shared" si="111"/>
        <v/>
      </c>
      <c r="O273" s="118" t="str">
        <f t="shared" si="112"/>
        <v/>
      </c>
      <c r="P273" s="118" t="str">
        <f t="shared" si="113"/>
        <v/>
      </c>
      <c r="Q273" s="118" t="str">
        <f t="shared" si="114"/>
        <v/>
      </c>
      <c r="R273" s="118" t="str">
        <f t="shared" si="115"/>
        <v/>
      </c>
      <c r="S273" s="118" t="str">
        <f t="shared" si="116"/>
        <v/>
      </c>
      <c r="T273" s="119" t="str">
        <f t="shared" si="99"/>
        <v/>
      </c>
      <c r="U273" s="119" t="str">
        <f t="shared" si="100"/>
        <v/>
      </c>
      <c r="V273" s="120" t="str">
        <f t="shared" si="101"/>
        <v/>
      </c>
      <c r="W273" s="120" t="str">
        <f t="shared" si="102"/>
        <v/>
      </c>
      <c r="X273" s="120" t="str">
        <f t="shared" si="103"/>
        <v/>
      </c>
      <c r="Y273" s="121" t="str">
        <f t="shared" si="104"/>
        <v/>
      </c>
      <c r="Z273" s="121" t="str">
        <f t="shared" si="105"/>
        <v/>
      </c>
      <c r="AA273" s="122">
        <v>1</v>
      </c>
      <c r="AB273" s="123">
        <v>1</v>
      </c>
      <c r="AC273" s="123" t="str">
        <f t="shared" si="117"/>
        <v/>
      </c>
      <c r="AD273" s="123" t="str">
        <f t="shared" si="118"/>
        <v/>
      </c>
      <c r="AE273" s="123" t="str">
        <f t="shared" si="119"/>
        <v/>
      </c>
      <c r="AF273" s="123" t="str">
        <f t="shared" si="120"/>
        <v/>
      </c>
      <c r="AG273" s="123" t="str">
        <f t="shared" si="121"/>
        <v/>
      </c>
      <c r="AH273" s="115" t="str">
        <f t="shared" si="122"/>
        <v/>
      </c>
      <c r="AI273" s="115" t="str">
        <f t="shared" si="123"/>
        <v/>
      </c>
      <c r="AJ273" s="115" t="str">
        <f t="shared" si="124"/>
        <v/>
      </c>
      <c r="AK273" s="115" t="str">
        <f t="shared" si="125"/>
        <v/>
      </c>
      <c r="AL273" s="115" t="str">
        <f t="shared" si="126"/>
        <v/>
      </c>
      <c r="AM273" s="115" t="str">
        <f t="shared" si="127"/>
        <v/>
      </c>
      <c r="AN273" s="115" t="str">
        <f t="shared" si="128"/>
        <v/>
      </c>
      <c r="AO273" s="3"/>
      <c r="AP273" s="3"/>
      <c r="AQ273" s="3"/>
      <c r="AR273" s="3"/>
      <c r="AS273" s="3"/>
      <c r="AT273" s="3"/>
      <c r="AU273" s="3"/>
      <c r="AZ273" s="1"/>
      <c r="BA273" s="1"/>
      <c r="BB273" s="1"/>
      <c r="BC273" s="1"/>
      <c r="BD273" s="1"/>
      <c r="BE273" s="1"/>
      <c r="BF273" s="1"/>
    </row>
    <row r="274" spans="1:58">
      <c r="A274" s="109">
        <v>150</v>
      </c>
      <c r="B274" s="114" t="str">
        <f>VLOOKUP(A274,P_DIS!$B$32:$Q$263,12)</f>
        <v>-</v>
      </c>
      <c r="C274" s="114" t="str">
        <f>VLOOKUP(A274,P_DIS!$B$32:$Q$263,13)</f>
        <v>-</v>
      </c>
      <c r="D274" s="114" t="str">
        <f>VLOOKUP(A274,P_DIS!$B$32:$Q$263,15)</f>
        <v>-</v>
      </c>
      <c r="E274" s="114" t="str">
        <f>VLOOKUP(A274,P_DIS!$B$32:$Q$263,14)</f>
        <v>-</v>
      </c>
      <c r="F274" s="114">
        <f>VLOOKUP(A274,P_DIS!$B$32:$Q$263,10)</f>
        <v>0</v>
      </c>
      <c r="G274" s="114" t="str">
        <f>VLOOKUP(A274,P_DIS!$B$32:$Q$263,11)</f>
        <v>-</v>
      </c>
      <c r="H274" s="114" t="str">
        <f>VLOOKUP(A274,P_DIS!$B$32:$Q$263,16)</f>
        <v>-</v>
      </c>
      <c r="I274" s="115" t="str">
        <f t="shared" si="106"/>
        <v/>
      </c>
      <c r="J274" s="116" t="str">
        <f t="shared" si="107"/>
        <v/>
      </c>
      <c r="K274" s="117" t="str">
        <f t="shared" si="108"/>
        <v/>
      </c>
      <c r="L274" s="118" t="str">
        <f t="shared" si="109"/>
        <v/>
      </c>
      <c r="M274" s="118" t="str">
        <f t="shared" si="110"/>
        <v/>
      </c>
      <c r="N274" s="118" t="str">
        <f t="shared" si="111"/>
        <v/>
      </c>
      <c r="O274" s="118" t="str">
        <f t="shared" si="112"/>
        <v/>
      </c>
      <c r="P274" s="118" t="str">
        <f t="shared" si="113"/>
        <v/>
      </c>
      <c r="Q274" s="118" t="str">
        <f t="shared" si="114"/>
        <v/>
      </c>
      <c r="R274" s="118" t="str">
        <f t="shared" si="115"/>
        <v/>
      </c>
      <c r="S274" s="118" t="str">
        <f t="shared" si="116"/>
        <v/>
      </c>
      <c r="T274" s="119" t="str">
        <f t="shared" si="99"/>
        <v/>
      </c>
      <c r="U274" s="119" t="str">
        <f t="shared" si="100"/>
        <v/>
      </c>
      <c r="V274" s="120" t="str">
        <f t="shared" si="101"/>
        <v/>
      </c>
      <c r="W274" s="120" t="str">
        <f t="shared" si="102"/>
        <v/>
      </c>
      <c r="X274" s="120" t="str">
        <f t="shared" si="103"/>
        <v/>
      </c>
      <c r="Y274" s="121" t="str">
        <f t="shared" si="104"/>
        <v/>
      </c>
      <c r="Z274" s="121" t="str">
        <f t="shared" si="105"/>
        <v/>
      </c>
      <c r="AA274" s="122">
        <v>1</v>
      </c>
      <c r="AB274" s="123">
        <v>1</v>
      </c>
      <c r="AC274" s="123" t="str">
        <f t="shared" si="117"/>
        <v/>
      </c>
      <c r="AD274" s="123" t="str">
        <f t="shared" si="118"/>
        <v/>
      </c>
      <c r="AE274" s="123" t="str">
        <f t="shared" si="119"/>
        <v/>
      </c>
      <c r="AF274" s="123" t="str">
        <f t="shared" si="120"/>
        <v/>
      </c>
      <c r="AG274" s="123" t="str">
        <f t="shared" si="121"/>
        <v/>
      </c>
      <c r="AH274" s="115" t="str">
        <f t="shared" si="122"/>
        <v/>
      </c>
      <c r="AI274" s="115" t="str">
        <f t="shared" si="123"/>
        <v/>
      </c>
      <c r="AJ274" s="115" t="str">
        <f t="shared" si="124"/>
        <v/>
      </c>
      <c r="AK274" s="115" t="str">
        <f t="shared" si="125"/>
        <v/>
      </c>
      <c r="AL274" s="115" t="str">
        <f t="shared" si="126"/>
        <v/>
      </c>
      <c r="AM274" s="115" t="str">
        <f t="shared" si="127"/>
        <v/>
      </c>
      <c r="AN274" s="115" t="str">
        <f t="shared" si="128"/>
        <v/>
      </c>
      <c r="AO274" s="3"/>
      <c r="AP274" s="3"/>
      <c r="AQ274" s="3"/>
      <c r="AR274" s="3"/>
      <c r="AS274" s="3"/>
      <c r="AT274" s="3"/>
      <c r="AU274" s="3"/>
      <c r="AZ274" s="1"/>
      <c r="BA274" s="1"/>
      <c r="BB274" s="1"/>
      <c r="BC274" s="1"/>
      <c r="BD274" s="1"/>
      <c r="BE274" s="1"/>
      <c r="BF274" s="1"/>
    </row>
    <row r="275" spans="1:58">
      <c r="A275" s="109">
        <v>151</v>
      </c>
      <c r="B275" s="114" t="str">
        <f>VLOOKUP(A275,P_DIS!$B$32:$Q$263,12)</f>
        <v>-</v>
      </c>
      <c r="C275" s="114" t="str">
        <f>VLOOKUP(A275,P_DIS!$B$32:$Q$263,13)</f>
        <v>-</v>
      </c>
      <c r="D275" s="114" t="str">
        <f>VLOOKUP(A275,P_DIS!$B$32:$Q$263,15)</f>
        <v>-</v>
      </c>
      <c r="E275" s="114" t="str">
        <f>VLOOKUP(A275,P_DIS!$B$32:$Q$263,14)</f>
        <v>-</v>
      </c>
      <c r="F275" s="114">
        <f>VLOOKUP(A275,P_DIS!$B$32:$Q$263,10)</f>
        <v>0</v>
      </c>
      <c r="G275" s="114" t="str">
        <f>VLOOKUP(A275,P_DIS!$B$32:$Q$263,11)</f>
        <v>-</v>
      </c>
      <c r="H275" s="114" t="str">
        <f>VLOOKUP(A275,P_DIS!$B$32:$Q$263,16)</f>
        <v>-</v>
      </c>
      <c r="I275" s="115" t="str">
        <f t="shared" si="106"/>
        <v/>
      </c>
      <c r="J275" s="116" t="str">
        <f t="shared" si="107"/>
        <v/>
      </c>
      <c r="K275" s="117" t="str">
        <f t="shared" si="108"/>
        <v/>
      </c>
      <c r="L275" s="118" t="str">
        <f t="shared" si="109"/>
        <v/>
      </c>
      <c r="M275" s="118" t="str">
        <f t="shared" si="110"/>
        <v/>
      </c>
      <c r="N275" s="118" t="str">
        <f t="shared" si="111"/>
        <v/>
      </c>
      <c r="O275" s="118" t="str">
        <f t="shared" si="112"/>
        <v/>
      </c>
      <c r="P275" s="118" t="str">
        <f t="shared" si="113"/>
        <v/>
      </c>
      <c r="Q275" s="118" t="str">
        <f t="shared" si="114"/>
        <v/>
      </c>
      <c r="R275" s="118" t="str">
        <f t="shared" si="115"/>
        <v/>
      </c>
      <c r="S275" s="118" t="str">
        <f t="shared" si="116"/>
        <v/>
      </c>
      <c r="T275" s="119" t="str">
        <f t="shared" si="99"/>
        <v/>
      </c>
      <c r="U275" s="119" t="str">
        <f t="shared" si="100"/>
        <v/>
      </c>
      <c r="V275" s="120" t="str">
        <f t="shared" si="101"/>
        <v/>
      </c>
      <c r="W275" s="120" t="str">
        <f t="shared" si="102"/>
        <v/>
      </c>
      <c r="X275" s="120" t="str">
        <f t="shared" si="103"/>
        <v/>
      </c>
      <c r="Y275" s="121" t="str">
        <f t="shared" si="104"/>
        <v/>
      </c>
      <c r="Z275" s="121" t="str">
        <f t="shared" si="105"/>
        <v/>
      </c>
      <c r="AA275" s="122">
        <v>1</v>
      </c>
      <c r="AB275" s="123">
        <v>1</v>
      </c>
      <c r="AC275" s="123" t="str">
        <f t="shared" si="117"/>
        <v/>
      </c>
      <c r="AD275" s="123" t="str">
        <f t="shared" si="118"/>
        <v/>
      </c>
      <c r="AE275" s="123" t="str">
        <f t="shared" si="119"/>
        <v/>
      </c>
      <c r="AF275" s="123" t="str">
        <f t="shared" si="120"/>
        <v/>
      </c>
      <c r="AG275" s="123" t="str">
        <f t="shared" si="121"/>
        <v/>
      </c>
      <c r="AH275" s="115" t="str">
        <f t="shared" si="122"/>
        <v/>
      </c>
      <c r="AI275" s="115" t="str">
        <f t="shared" si="123"/>
        <v/>
      </c>
      <c r="AJ275" s="115" t="str">
        <f t="shared" si="124"/>
        <v/>
      </c>
      <c r="AK275" s="115" t="str">
        <f t="shared" si="125"/>
        <v/>
      </c>
      <c r="AL275" s="115" t="str">
        <f t="shared" si="126"/>
        <v/>
      </c>
      <c r="AM275" s="115" t="str">
        <f t="shared" si="127"/>
        <v/>
      </c>
      <c r="AN275" s="115" t="str">
        <f t="shared" si="128"/>
        <v/>
      </c>
      <c r="AO275" s="3"/>
      <c r="AP275" s="3"/>
      <c r="AQ275" s="3"/>
      <c r="AR275" s="3"/>
      <c r="AS275" s="3"/>
      <c r="AT275" s="3"/>
      <c r="AU275" s="3"/>
      <c r="AZ275" s="1"/>
      <c r="BA275" s="1"/>
      <c r="BB275" s="1"/>
      <c r="BC275" s="1"/>
      <c r="BD275" s="1"/>
      <c r="BE275" s="1"/>
      <c r="BF275" s="1"/>
    </row>
    <row r="276" spans="1:58">
      <c r="A276" s="109">
        <v>152</v>
      </c>
      <c r="B276" s="114" t="str">
        <f>VLOOKUP(A276,P_DIS!$B$32:$Q$263,12)</f>
        <v>-</v>
      </c>
      <c r="C276" s="114" t="str">
        <f>VLOOKUP(A276,P_DIS!$B$32:$Q$263,13)</f>
        <v>-</v>
      </c>
      <c r="D276" s="114" t="str">
        <f>VLOOKUP(A276,P_DIS!$B$32:$Q$263,15)</f>
        <v>-</v>
      </c>
      <c r="E276" s="114" t="str">
        <f>VLOOKUP(A276,P_DIS!$B$32:$Q$263,14)</f>
        <v>-</v>
      </c>
      <c r="F276" s="114">
        <f>VLOOKUP(A276,P_DIS!$B$32:$Q$263,10)</f>
        <v>0</v>
      </c>
      <c r="G276" s="114" t="str">
        <f>VLOOKUP(A276,P_DIS!$B$32:$Q$263,11)</f>
        <v>-</v>
      </c>
      <c r="H276" s="114" t="str">
        <f>VLOOKUP(A276,P_DIS!$B$32:$Q$263,16)</f>
        <v>-</v>
      </c>
      <c r="I276" s="115" t="str">
        <f t="shared" si="106"/>
        <v/>
      </c>
      <c r="J276" s="116" t="str">
        <f t="shared" si="107"/>
        <v/>
      </c>
      <c r="K276" s="117" t="str">
        <f t="shared" si="108"/>
        <v/>
      </c>
      <c r="L276" s="118" t="str">
        <f t="shared" si="109"/>
        <v/>
      </c>
      <c r="M276" s="118" t="str">
        <f t="shared" si="110"/>
        <v/>
      </c>
      <c r="N276" s="118" t="str">
        <f t="shared" si="111"/>
        <v/>
      </c>
      <c r="O276" s="118" t="str">
        <f t="shared" si="112"/>
        <v/>
      </c>
      <c r="P276" s="118" t="str">
        <f t="shared" si="113"/>
        <v/>
      </c>
      <c r="Q276" s="118" t="str">
        <f t="shared" si="114"/>
        <v/>
      </c>
      <c r="R276" s="118" t="str">
        <f t="shared" si="115"/>
        <v/>
      </c>
      <c r="S276" s="118" t="str">
        <f t="shared" si="116"/>
        <v/>
      </c>
      <c r="T276" s="119" t="str">
        <f t="shared" si="99"/>
        <v/>
      </c>
      <c r="U276" s="119" t="str">
        <f t="shared" si="100"/>
        <v/>
      </c>
      <c r="V276" s="120" t="str">
        <f t="shared" si="101"/>
        <v/>
      </c>
      <c r="W276" s="120" t="str">
        <f t="shared" si="102"/>
        <v/>
      </c>
      <c r="X276" s="120" t="str">
        <f t="shared" si="103"/>
        <v/>
      </c>
      <c r="Y276" s="121" t="str">
        <f t="shared" si="104"/>
        <v/>
      </c>
      <c r="Z276" s="121" t="str">
        <f t="shared" si="105"/>
        <v/>
      </c>
      <c r="AA276" s="122">
        <v>1</v>
      </c>
      <c r="AB276" s="123">
        <v>1</v>
      </c>
      <c r="AC276" s="123" t="str">
        <f t="shared" si="117"/>
        <v/>
      </c>
      <c r="AD276" s="123" t="str">
        <f t="shared" si="118"/>
        <v/>
      </c>
      <c r="AE276" s="123" t="str">
        <f t="shared" si="119"/>
        <v/>
      </c>
      <c r="AF276" s="123" t="str">
        <f t="shared" si="120"/>
        <v/>
      </c>
      <c r="AG276" s="123" t="str">
        <f t="shared" si="121"/>
        <v/>
      </c>
      <c r="AH276" s="115" t="str">
        <f t="shared" si="122"/>
        <v/>
      </c>
      <c r="AI276" s="115" t="str">
        <f t="shared" si="123"/>
        <v/>
      </c>
      <c r="AJ276" s="115" t="str">
        <f t="shared" si="124"/>
        <v/>
      </c>
      <c r="AK276" s="115" t="str">
        <f t="shared" si="125"/>
        <v/>
      </c>
      <c r="AL276" s="115" t="str">
        <f t="shared" si="126"/>
        <v/>
      </c>
      <c r="AM276" s="115" t="str">
        <f t="shared" si="127"/>
        <v/>
      </c>
      <c r="AN276" s="115" t="str">
        <f t="shared" si="128"/>
        <v/>
      </c>
      <c r="AO276" s="3"/>
      <c r="AP276" s="3"/>
      <c r="AQ276" s="3"/>
      <c r="AR276" s="3"/>
      <c r="AS276" s="3"/>
      <c r="AT276" s="3"/>
      <c r="AU276" s="3"/>
      <c r="AZ276" s="1"/>
      <c r="BA276" s="1"/>
      <c r="BB276" s="1"/>
      <c r="BC276" s="1"/>
      <c r="BD276" s="1"/>
      <c r="BE276" s="1"/>
      <c r="BF276" s="1"/>
    </row>
    <row r="277" spans="1:58">
      <c r="A277" s="109">
        <v>153</v>
      </c>
      <c r="B277" s="114" t="str">
        <f>VLOOKUP(A277,P_DIS!$B$32:$Q$263,12)</f>
        <v>-</v>
      </c>
      <c r="C277" s="114" t="str">
        <f>VLOOKUP(A277,P_DIS!$B$32:$Q$263,13)</f>
        <v>-</v>
      </c>
      <c r="D277" s="114" t="str">
        <f>VLOOKUP(A277,P_DIS!$B$32:$Q$263,15)</f>
        <v>-</v>
      </c>
      <c r="E277" s="114" t="str">
        <f>VLOOKUP(A277,P_DIS!$B$32:$Q$263,14)</f>
        <v>-</v>
      </c>
      <c r="F277" s="114">
        <f>VLOOKUP(A277,P_DIS!$B$32:$Q$263,10)</f>
        <v>0</v>
      </c>
      <c r="G277" s="114" t="str">
        <f>VLOOKUP(A277,P_DIS!$B$32:$Q$263,11)</f>
        <v>-</v>
      </c>
      <c r="H277" s="114" t="str">
        <f>VLOOKUP(A277,P_DIS!$B$32:$Q$263,16)</f>
        <v>-</v>
      </c>
      <c r="I277" s="115" t="str">
        <f t="shared" si="106"/>
        <v/>
      </c>
      <c r="J277" s="116" t="str">
        <f t="shared" si="107"/>
        <v/>
      </c>
      <c r="K277" s="117" t="str">
        <f t="shared" si="108"/>
        <v/>
      </c>
      <c r="L277" s="118" t="str">
        <f t="shared" si="109"/>
        <v/>
      </c>
      <c r="M277" s="118" t="str">
        <f t="shared" si="110"/>
        <v/>
      </c>
      <c r="N277" s="118" t="str">
        <f t="shared" si="111"/>
        <v/>
      </c>
      <c r="O277" s="118" t="str">
        <f t="shared" si="112"/>
        <v/>
      </c>
      <c r="P277" s="118" t="str">
        <f t="shared" si="113"/>
        <v/>
      </c>
      <c r="Q277" s="118" t="str">
        <f t="shared" si="114"/>
        <v/>
      </c>
      <c r="R277" s="118" t="str">
        <f t="shared" si="115"/>
        <v/>
      </c>
      <c r="S277" s="118" t="str">
        <f t="shared" si="116"/>
        <v/>
      </c>
      <c r="T277" s="119" t="str">
        <f t="shared" si="99"/>
        <v/>
      </c>
      <c r="U277" s="119" t="str">
        <f t="shared" si="100"/>
        <v/>
      </c>
      <c r="V277" s="120" t="str">
        <f t="shared" si="101"/>
        <v/>
      </c>
      <c r="W277" s="120" t="str">
        <f t="shared" si="102"/>
        <v/>
      </c>
      <c r="X277" s="120" t="str">
        <f t="shared" si="103"/>
        <v/>
      </c>
      <c r="Y277" s="121" t="str">
        <f t="shared" si="104"/>
        <v/>
      </c>
      <c r="Z277" s="121" t="str">
        <f t="shared" si="105"/>
        <v/>
      </c>
      <c r="AA277" s="122">
        <v>1</v>
      </c>
      <c r="AB277" s="123">
        <v>1</v>
      </c>
      <c r="AC277" s="123" t="str">
        <f t="shared" si="117"/>
        <v/>
      </c>
      <c r="AD277" s="123" t="str">
        <f t="shared" si="118"/>
        <v/>
      </c>
      <c r="AE277" s="123" t="str">
        <f t="shared" si="119"/>
        <v/>
      </c>
      <c r="AF277" s="123" t="str">
        <f t="shared" si="120"/>
        <v/>
      </c>
      <c r="AG277" s="123" t="str">
        <f t="shared" si="121"/>
        <v/>
      </c>
      <c r="AH277" s="115" t="str">
        <f t="shared" si="122"/>
        <v/>
      </c>
      <c r="AI277" s="115" t="str">
        <f t="shared" si="123"/>
        <v/>
      </c>
      <c r="AJ277" s="115" t="str">
        <f t="shared" si="124"/>
        <v/>
      </c>
      <c r="AK277" s="115" t="str">
        <f t="shared" si="125"/>
        <v/>
      </c>
      <c r="AL277" s="115" t="str">
        <f t="shared" si="126"/>
        <v/>
      </c>
      <c r="AM277" s="115" t="str">
        <f t="shared" si="127"/>
        <v/>
      </c>
      <c r="AN277" s="115" t="str">
        <f t="shared" si="128"/>
        <v/>
      </c>
      <c r="AO277" s="3"/>
      <c r="AP277" s="3"/>
      <c r="AQ277" s="3"/>
      <c r="AR277" s="3"/>
      <c r="AS277" s="3"/>
      <c r="AT277" s="3"/>
      <c r="AU277" s="3"/>
      <c r="AZ277" s="1"/>
      <c r="BA277" s="1"/>
      <c r="BB277" s="1"/>
      <c r="BC277" s="1"/>
      <c r="BD277" s="1"/>
      <c r="BE277" s="1"/>
      <c r="BF277" s="1"/>
    </row>
    <row r="278" spans="1:58">
      <c r="A278" s="109">
        <v>154</v>
      </c>
      <c r="B278" s="114" t="str">
        <f>VLOOKUP(A278,P_DIS!$B$32:$Q$263,12)</f>
        <v>-</v>
      </c>
      <c r="C278" s="114" t="str">
        <f>VLOOKUP(A278,P_DIS!$B$32:$Q$263,13)</f>
        <v>-</v>
      </c>
      <c r="D278" s="114" t="str">
        <f>VLOOKUP(A278,P_DIS!$B$32:$Q$263,15)</f>
        <v>-</v>
      </c>
      <c r="E278" s="114" t="str">
        <f>VLOOKUP(A278,P_DIS!$B$32:$Q$263,14)</f>
        <v>-</v>
      </c>
      <c r="F278" s="114">
        <f>VLOOKUP(A278,P_DIS!$B$32:$Q$263,10)</f>
        <v>0</v>
      </c>
      <c r="G278" s="114" t="str">
        <f>VLOOKUP(A278,P_DIS!$B$32:$Q$263,11)</f>
        <v>-</v>
      </c>
      <c r="H278" s="114" t="str">
        <f>VLOOKUP(A278,P_DIS!$B$32:$Q$263,16)</f>
        <v>-</v>
      </c>
      <c r="I278" s="115" t="str">
        <f t="shared" si="106"/>
        <v/>
      </c>
      <c r="J278" s="116" t="str">
        <f t="shared" si="107"/>
        <v/>
      </c>
      <c r="K278" s="117" t="str">
        <f t="shared" si="108"/>
        <v/>
      </c>
      <c r="L278" s="118" t="str">
        <f t="shared" si="109"/>
        <v/>
      </c>
      <c r="M278" s="118" t="str">
        <f t="shared" si="110"/>
        <v/>
      </c>
      <c r="N278" s="118" t="str">
        <f t="shared" si="111"/>
        <v/>
      </c>
      <c r="O278" s="118" t="str">
        <f t="shared" si="112"/>
        <v/>
      </c>
      <c r="P278" s="118" t="str">
        <f t="shared" si="113"/>
        <v/>
      </c>
      <c r="Q278" s="118" t="str">
        <f t="shared" si="114"/>
        <v/>
      </c>
      <c r="R278" s="118" t="str">
        <f t="shared" si="115"/>
        <v/>
      </c>
      <c r="S278" s="118" t="str">
        <f t="shared" si="116"/>
        <v/>
      </c>
      <c r="T278" s="119" t="str">
        <f t="shared" si="99"/>
        <v/>
      </c>
      <c r="U278" s="119" t="str">
        <f t="shared" si="100"/>
        <v/>
      </c>
      <c r="V278" s="120" t="str">
        <f t="shared" si="101"/>
        <v/>
      </c>
      <c r="W278" s="120" t="str">
        <f t="shared" si="102"/>
        <v/>
      </c>
      <c r="X278" s="120" t="str">
        <f t="shared" si="103"/>
        <v/>
      </c>
      <c r="Y278" s="121" t="str">
        <f t="shared" si="104"/>
        <v/>
      </c>
      <c r="Z278" s="121" t="str">
        <f t="shared" si="105"/>
        <v/>
      </c>
      <c r="AA278" s="122">
        <v>1</v>
      </c>
      <c r="AB278" s="123">
        <v>1</v>
      </c>
      <c r="AC278" s="123" t="str">
        <f t="shared" si="117"/>
        <v/>
      </c>
      <c r="AD278" s="123" t="str">
        <f t="shared" si="118"/>
        <v/>
      </c>
      <c r="AE278" s="123" t="str">
        <f t="shared" si="119"/>
        <v/>
      </c>
      <c r="AF278" s="123" t="str">
        <f t="shared" si="120"/>
        <v/>
      </c>
      <c r="AG278" s="123" t="str">
        <f t="shared" si="121"/>
        <v/>
      </c>
      <c r="AH278" s="115" t="str">
        <f t="shared" si="122"/>
        <v/>
      </c>
      <c r="AI278" s="115" t="str">
        <f t="shared" si="123"/>
        <v/>
      </c>
      <c r="AJ278" s="115" t="str">
        <f t="shared" si="124"/>
        <v/>
      </c>
      <c r="AK278" s="115" t="str">
        <f t="shared" si="125"/>
        <v/>
      </c>
      <c r="AL278" s="115" t="str">
        <f t="shared" si="126"/>
        <v/>
      </c>
      <c r="AM278" s="115" t="str">
        <f t="shared" si="127"/>
        <v/>
      </c>
      <c r="AN278" s="115" t="str">
        <f t="shared" si="128"/>
        <v/>
      </c>
      <c r="AO278" s="3"/>
      <c r="AP278" s="3"/>
      <c r="AQ278" s="3"/>
      <c r="AR278" s="3"/>
      <c r="AS278" s="3"/>
      <c r="AT278" s="3"/>
      <c r="AU278" s="3"/>
      <c r="AZ278" s="1"/>
      <c r="BA278" s="1"/>
      <c r="BB278" s="1"/>
      <c r="BC278" s="1"/>
      <c r="BD278" s="1"/>
      <c r="BE278" s="1"/>
      <c r="BF278" s="1"/>
    </row>
    <row r="279" spans="1:58">
      <c r="A279" s="109">
        <v>155</v>
      </c>
      <c r="B279" s="114" t="str">
        <f>VLOOKUP(A279,P_DIS!$B$32:$Q$263,12)</f>
        <v>-</v>
      </c>
      <c r="C279" s="114" t="str">
        <f>VLOOKUP(A279,P_DIS!$B$32:$Q$263,13)</f>
        <v>-</v>
      </c>
      <c r="D279" s="114" t="str">
        <f>VLOOKUP(A279,P_DIS!$B$32:$Q$263,15)</f>
        <v>-</v>
      </c>
      <c r="E279" s="114" t="str">
        <f>VLOOKUP(A279,P_DIS!$B$32:$Q$263,14)</f>
        <v>-</v>
      </c>
      <c r="F279" s="114">
        <f>VLOOKUP(A279,P_DIS!$B$32:$Q$263,10)</f>
        <v>0</v>
      </c>
      <c r="G279" s="114" t="str">
        <f>VLOOKUP(A279,P_DIS!$B$32:$Q$263,11)</f>
        <v>-</v>
      </c>
      <c r="H279" s="114" t="str">
        <f>VLOOKUP(A279,P_DIS!$B$32:$Q$263,16)</f>
        <v>-</v>
      </c>
      <c r="I279" s="115" t="str">
        <f t="shared" si="106"/>
        <v/>
      </c>
      <c r="J279" s="116" t="str">
        <f t="shared" si="107"/>
        <v/>
      </c>
      <c r="K279" s="117" t="str">
        <f t="shared" si="108"/>
        <v/>
      </c>
      <c r="L279" s="118" t="str">
        <f t="shared" si="109"/>
        <v/>
      </c>
      <c r="M279" s="118" t="str">
        <f t="shared" si="110"/>
        <v/>
      </c>
      <c r="N279" s="118" t="str">
        <f t="shared" si="111"/>
        <v/>
      </c>
      <c r="O279" s="118" t="str">
        <f t="shared" si="112"/>
        <v/>
      </c>
      <c r="P279" s="118" t="str">
        <f t="shared" si="113"/>
        <v/>
      </c>
      <c r="Q279" s="118" t="str">
        <f t="shared" si="114"/>
        <v/>
      </c>
      <c r="R279" s="118" t="str">
        <f t="shared" si="115"/>
        <v/>
      </c>
      <c r="S279" s="118" t="str">
        <f t="shared" si="116"/>
        <v/>
      </c>
      <c r="T279" s="119" t="str">
        <f t="shared" si="99"/>
        <v/>
      </c>
      <c r="U279" s="119" t="str">
        <f t="shared" si="100"/>
        <v/>
      </c>
      <c r="V279" s="120" t="str">
        <f t="shared" si="101"/>
        <v/>
      </c>
      <c r="W279" s="120" t="str">
        <f t="shared" si="102"/>
        <v/>
      </c>
      <c r="X279" s="120" t="str">
        <f t="shared" si="103"/>
        <v/>
      </c>
      <c r="Y279" s="121" t="str">
        <f t="shared" si="104"/>
        <v/>
      </c>
      <c r="Z279" s="121" t="str">
        <f t="shared" si="105"/>
        <v/>
      </c>
      <c r="AA279" s="122">
        <v>1</v>
      </c>
      <c r="AB279" s="123">
        <v>1</v>
      </c>
      <c r="AC279" s="123" t="str">
        <f t="shared" si="117"/>
        <v/>
      </c>
      <c r="AD279" s="123" t="str">
        <f t="shared" si="118"/>
        <v/>
      </c>
      <c r="AE279" s="123" t="str">
        <f t="shared" si="119"/>
        <v/>
      </c>
      <c r="AF279" s="123" t="str">
        <f t="shared" si="120"/>
        <v/>
      </c>
      <c r="AG279" s="123" t="str">
        <f t="shared" si="121"/>
        <v/>
      </c>
      <c r="AH279" s="115" t="str">
        <f t="shared" si="122"/>
        <v/>
      </c>
      <c r="AI279" s="115" t="str">
        <f t="shared" si="123"/>
        <v/>
      </c>
      <c r="AJ279" s="115" t="str">
        <f t="shared" si="124"/>
        <v/>
      </c>
      <c r="AK279" s="115" t="str">
        <f t="shared" si="125"/>
        <v/>
      </c>
      <c r="AL279" s="115" t="str">
        <f t="shared" si="126"/>
        <v/>
      </c>
      <c r="AM279" s="115" t="str">
        <f t="shared" si="127"/>
        <v/>
      </c>
      <c r="AN279" s="115" t="str">
        <f t="shared" si="128"/>
        <v/>
      </c>
      <c r="AO279" s="3"/>
      <c r="AP279" s="3"/>
      <c r="AQ279" s="3"/>
      <c r="AR279" s="3"/>
      <c r="AS279" s="3"/>
      <c r="AT279" s="3"/>
      <c r="AU279" s="3"/>
      <c r="AZ279" s="1"/>
      <c r="BA279" s="1"/>
      <c r="BB279" s="1"/>
      <c r="BC279" s="1"/>
      <c r="BD279" s="1"/>
      <c r="BE279" s="1"/>
      <c r="BF279" s="1"/>
    </row>
    <row r="280" spans="1:58">
      <c r="A280" s="109">
        <v>156</v>
      </c>
      <c r="B280" s="114" t="str">
        <f>VLOOKUP(A280,P_DIS!$B$32:$Q$263,12)</f>
        <v>-</v>
      </c>
      <c r="C280" s="114" t="str">
        <f>VLOOKUP(A280,P_DIS!$B$32:$Q$263,13)</f>
        <v>-</v>
      </c>
      <c r="D280" s="114" t="str">
        <f>VLOOKUP(A280,P_DIS!$B$32:$Q$263,15)</f>
        <v>-</v>
      </c>
      <c r="E280" s="114" t="str">
        <f>VLOOKUP(A280,P_DIS!$B$32:$Q$263,14)</f>
        <v>-</v>
      </c>
      <c r="F280" s="114">
        <f>VLOOKUP(A280,P_DIS!$B$32:$Q$263,10)</f>
        <v>0</v>
      </c>
      <c r="G280" s="114" t="str">
        <f>VLOOKUP(A280,P_DIS!$B$32:$Q$263,11)</f>
        <v>-</v>
      </c>
      <c r="H280" s="114" t="str">
        <f>VLOOKUP(A280,P_DIS!$B$32:$Q$263,16)</f>
        <v>-</v>
      </c>
      <c r="I280" s="115" t="str">
        <f t="shared" si="106"/>
        <v/>
      </c>
      <c r="J280" s="116" t="str">
        <f t="shared" si="107"/>
        <v/>
      </c>
      <c r="K280" s="117" t="str">
        <f t="shared" si="108"/>
        <v/>
      </c>
      <c r="L280" s="118" t="str">
        <f t="shared" si="109"/>
        <v/>
      </c>
      <c r="M280" s="118" t="str">
        <f t="shared" si="110"/>
        <v/>
      </c>
      <c r="N280" s="118" t="str">
        <f t="shared" si="111"/>
        <v/>
      </c>
      <c r="O280" s="118" t="str">
        <f t="shared" si="112"/>
        <v/>
      </c>
      <c r="P280" s="118" t="str">
        <f t="shared" si="113"/>
        <v/>
      </c>
      <c r="Q280" s="118" t="str">
        <f t="shared" si="114"/>
        <v/>
      </c>
      <c r="R280" s="118" t="str">
        <f t="shared" si="115"/>
        <v/>
      </c>
      <c r="S280" s="118" t="str">
        <f t="shared" si="116"/>
        <v/>
      </c>
      <c r="T280" s="119" t="str">
        <f t="shared" si="99"/>
        <v/>
      </c>
      <c r="U280" s="119" t="str">
        <f t="shared" si="100"/>
        <v/>
      </c>
      <c r="V280" s="120" t="str">
        <f t="shared" si="101"/>
        <v/>
      </c>
      <c r="W280" s="120" t="str">
        <f t="shared" si="102"/>
        <v/>
      </c>
      <c r="X280" s="120" t="str">
        <f t="shared" si="103"/>
        <v/>
      </c>
      <c r="Y280" s="121" t="str">
        <f t="shared" si="104"/>
        <v/>
      </c>
      <c r="Z280" s="121" t="str">
        <f t="shared" si="105"/>
        <v/>
      </c>
      <c r="AA280" s="122">
        <v>1</v>
      </c>
      <c r="AB280" s="123">
        <v>1</v>
      </c>
      <c r="AC280" s="123" t="str">
        <f t="shared" si="117"/>
        <v/>
      </c>
      <c r="AD280" s="123" t="str">
        <f t="shared" si="118"/>
        <v/>
      </c>
      <c r="AE280" s="123" t="str">
        <f t="shared" si="119"/>
        <v/>
      </c>
      <c r="AF280" s="123" t="str">
        <f t="shared" si="120"/>
        <v/>
      </c>
      <c r="AG280" s="123" t="str">
        <f t="shared" si="121"/>
        <v/>
      </c>
      <c r="AH280" s="115" t="str">
        <f t="shared" si="122"/>
        <v/>
      </c>
      <c r="AI280" s="115" t="str">
        <f t="shared" si="123"/>
        <v/>
      </c>
      <c r="AJ280" s="115" t="str">
        <f t="shared" si="124"/>
        <v/>
      </c>
      <c r="AK280" s="115" t="str">
        <f t="shared" si="125"/>
        <v/>
      </c>
      <c r="AL280" s="115" t="str">
        <f t="shared" si="126"/>
        <v/>
      </c>
      <c r="AM280" s="115" t="str">
        <f t="shared" si="127"/>
        <v/>
      </c>
      <c r="AN280" s="115" t="str">
        <f t="shared" si="128"/>
        <v/>
      </c>
      <c r="AO280" s="3"/>
      <c r="AP280" s="3"/>
      <c r="AQ280" s="3"/>
      <c r="AR280" s="3"/>
      <c r="AS280" s="3"/>
      <c r="AT280" s="3"/>
      <c r="AU280" s="3"/>
      <c r="AZ280" s="1"/>
      <c r="BA280" s="1"/>
      <c r="BB280" s="1"/>
      <c r="BC280" s="1"/>
      <c r="BD280" s="1"/>
      <c r="BE280" s="1"/>
      <c r="BF280" s="1"/>
    </row>
    <row r="281" spans="1:58">
      <c r="A281" s="109">
        <v>157</v>
      </c>
      <c r="B281" s="114" t="str">
        <f>VLOOKUP(A281,P_DIS!$B$32:$Q$263,12)</f>
        <v>-</v>
      </c>
      <c r="C281" s="114" t="str">
        <f>VLOOKUP(A281,P_DIS!$B$32:$Q$263,13)</f>
        <v>-</v>
      </c>
      <c r="D281" s="114" t="str">
        <f>VLOOKUP(A281,P_DIS!$B$32:$Q$263,15)</f>
        <v>-</v>
      </c>
      <c r="E281" s="114" t="str">
        <f>VLOOKUP(A281,P_DIS!$B$32:$Q$263,14)</f>
        <v>-</v>
      </c>
      <c r="F281" s="114">
        <f>VLOOKUP(A281,P_DIS!$B$32:$Q$263,10)</f>
        <v>0</v>
      </c>
      <c r="G281" s="114" t="str">
        <f>VLOOKUP(A281,P_DIS!$B$32:$Q$263,11)</f>
        <v>-</v>
      </c>
      <c r="H281" s="114" t="str">
        <f>VLOOKUP(A281,P_DIS!$B$32:$Q$263,16)</f>
        <v>-</v>
      </c>
      <c r="I281" s="115" t="str">
        <f t="shared" si="106"/>
        <v/>
      </c>
      <c r="J281" s="116" t="str">
        <f t="shared" si="107"/>
        <v/>
      </c>
      <c r="K281" s="117" t="str">
        <f t="shared" si="108"/>
        <v/>
      </c>
      <c r="L281" s="118" t="str">
        <f t="shared" si="109"/>
        <v/>
      </c>
      <c r="M281" s="118" t="str">
        <f t="shared" si="110"/>
        <v/>
      </c>
      <c r="N281" s="118" t="str">
        <f t="shared" si="111"/>
        <v/>
      </c>
      <c r="O281" s="118" t="str">
        <f t="shared" si="112"/>
        <v/>
      </c>
      <c r="P281" s="118" t="str">
        <f t="shared" si="113"/>
        <v/>
      </c>
      <c r="Q281" s="118" t="str">
        <f t="shared" si="114"/>
        <v/>
      </c>
      <c r="R281" s="118" t="str">
        <f t="shared" si="115"/>
        <v/>
      </c>
      <c r="S281" s="118" t="str">
        <f t="shared" si="116"/>
        <v/>
      </c>
      <c r="T281" s="119" t="str">
        <f t="shared" si="99"/>
        <v/>
      </c>
      <c r="U281" s="119" t="str">
        <f t="shared" si="100"/>
        <v/>
      </c>
      <c r="V281" s="120" t="str">
        <f t="shared" si="101"/>
        <v/>
      </c>
      <c r="W281" s="120" t="str">
        <f t="shared" si="102"/>
        <v/>
      </c>
      <c r="X281" s="120" t="str">
        <f t="shared" si="103"/>
        <v/>
      </c>
      <c r="Y281" s="121" t="str">
        <f t="shared" si="104"/>
        <v/>
      </c>
      <c r="Z281" s="121" t="str">
        <f t="shared" si="105"/>
        <v/>
      </c>
      <c r="AA281" s="122">
        <v>1</v>
      </c>
      <c r="AB281" s="123">
        <v>1</v>
      </c>
      <c r="AC281" s="123" t="str">
        <f t="shared" si="117"/>
        <v/>
      </c>
      <c r="AD281" s="123" t="str">
        <f t="shared" si="118"/>
        <v/>
      </c>
      <c r="AE281" s="123" t="str">
        <f t="shared" si="119"/>
        <v/>
      </c>
      <c r="AF281" s="123" t="str">
        <f t="shared" si="120"/>
        <v/>
      </c>
      <c r="AG281" s="123" t="str">
        <f t="shared" si="121"/>
        <v/>
      </c>
      <c r="AH281" s="115" t="str">
        <f t="shared" si="122"/>
        <v/>
      </c>
      <c r="AI281" s="115" t="str">
        <f t="shared" si="123"/>
        <v/>
      </c>
      <c r="AJ281" s="115" t="str">
        <f t="shared" si="124"/>
        <v/>
      </c>
      <c r="AK281" s="115" t="str">
        <f t="shared" si="125"/>
        <v/>
      </c>
      <c r="AL281" s="115" t="str">
        <f t="shared" si="126"/>
        <v/>
      </c>
      <c r="AM281" s="115" t="str">
        <f t="shared" si="127"/>
        <v/>
      </c>
      <c r="AN281" s="115" t="str">
        <f t="shared" si="128"/>
        <v/>
      </c>
      <c r="AO281" s="3"/>
      <c r="AP281" s="3"/>
      <c r="AQ281" s="3"/>
      <c r="AR281" s="3"/>
      <c r="AS281" s="3"/>
      <c r="AT281" s="3"/>
      <c r="AU281" s="3"/>
      <c r="AZ281" s="1"/>
      <c r="BA281" s="1"/>
      <c r="BB281" s="1"/>
      <c r="BC281" s="1"/>
      <c r="BD281" s="1"/>
      <c r="BE281" s="1"/>
      <c r="BF281" s="1"/>
    </row>
    <row r="282" spans="1:58">
      <c r="A282" s="109">
        <v>158</v>
      </c>
      <c r="B282" s="114" t="str">
        <f>VLOOKUP(A282,P_DIS!$B$32:$Q$263,12)</f>
        <v>-</v>
      </c>
      <c r="C282" s="114" t="str">
        <f>VLOOKUP(A282,P_DIS!$B$32:$Q$263,13)</f>
        <v>-</v>
      </c>
      <c r="D282" s="114" t="str">
        <f>VLOOKUP(A282,P_DIS!$B$32:$Q$263,15)</f>
        <v>-</v>
      </c>
      <c r="E282" s="114" t="str">
        <f>VLOOKUP(A282,P_DIS!$B$32:$Q$263,14)</f>
        <v>-</v>
      </c>
      <c r="F282" s="114">
        <f>VLOOKUP(A282,P_DIS!$B$32:$Q$263,10)</f>
        <v>0</v>
      </c>
      <c r="G282" s="114" t="str">
        <f>VLOOKUP(A282,P_DIS!$B$32:$Q$263,11)</f>
        <v>-</v>
      </c>
      <c r="H282" s="114" t="str">
        <f>VLOOKUP(A282,P_DIS!$B$32:$Q$263,16)</f>
        <v>-</v>
      </c>
      <c r="I282" s="115" t="str">
        <f t="shared" si="106"/>
        <v/>
      </c>
      <c r="J282" s="116" t="str">
        <f t="shared" si="107"/>
        <v/>
      </c>
      <c r="K282" s="117" t="str">
        <f t="shared" si="108"/>
        <v/>
      </c>
      <c r="L282" s="118" t="str">
        <f t="shared" si="109"/>
        <v/>
      </c>
      <c r="M282" s="118" t="str">
        <f t="shared" si="110"/>
        <v/>
      </c>
      <c r="N282" s="118" t="str">
        <f t="shared" si="111"/>
        <v/>
      </c>
      <c r="O282" s="118" t="str">
        <f t="shared" si="112"/>
        <v/>
      </c>
      <c r="P282" s="118" t="str">
        <f t="shared" si="113"/>
        <v/>
      </c>
      <c r="Q282" s="118" t="str">
        <f t="shared" si="114"/>
        <v/>
      </c>
      <c r="R282" s="118" t="str">
        <f t="shared" si="115"/>
        <v/>
      </c>
      <c r="S282" s="118" t="str">
        <f t="shared" si="116"/>
        <v/>
      </c>
      <c r="T282" s="119" t="str">
        <f t="shared" si="99"/>
        <v/>
      </c>
      <c r="U282" s="119" t="str">
        <f t="shared" si="100"/>
        <v/>
      </c>
      <c r="V282" s="120" t="str">
        <f t="shared" si="101"/>
        <v/>
      </c>
      <c r="W282" s="120" t="str">
        <f t="shared" si="102"/>
        <v/>
      </c>
      <c r="X282" s="120" t="str">
        <f t="shared" si="103"/>
        <v/>
      </c>
      <c r="Y282" s="121" t="str">
        <f t="shared" si="104"/>
        <v/>
      </c>
      <c r="Z282" s="121" t="str">
        <f t="shared" si="105"/>
        <v/>
      </c>
      <c r="AA282" s="122">
        <v>1</v>
      </c>
      <c r="AB282" s="123">
        <v>1</v>
      </c>
      <c r="AC282" s="123" t="str">
        <f t="shared" si="117"/>
        <v/>
      </c>
      <c r="AD282" s="123" t="str">
        <f t="shared" si="118"/>
        <v/>
      </c>
      <c r="AE282" s="123" t="str">
        <f t="shared" si="119"/>
        <v/>
      </c>
      <c r="AF282" s="123" t="str">
        <f t="shared" si="120"/>
        <v/>
      </c>
      <c r="AG282" s="123" t="str">
        <f t="shared" si="121"/>
        <v/>
      </c>
      <c r="AH282" s="115" t="str">
        <f t="shared" si="122"/>
        <v/>
      </c>
      <c r="AI282" s="115" t="str">
        <f t="shared" si="123"/>
        <v/>
      </c>
      <c r="AJ282" s="115" t="str">
        <f t="shared" si="124"/>
        <v/>
      </c>
      <c r="AK282" s="115" t="str">
        <f t="shared" si="125"/>
        <v/>
      </c>
      <c r="AL282" s="115" t="str">
        <f t="shared" si="126"/>
        <v/>
      </c>
      <c r="AM282" s="115" t="str">
        <f t="shared" si="127"/>
        <v/>
      </c>
      <c r="AN282" s="115" t="str">
        <f t="shared" si="128"/>
        <v/>
      </c>
      <c r="AO282" s="3"/>
      <c r="AP282" s="3"/>
      <c r="AQ282" s="3"/>
      <c r="AR282" s="3"/>
      <c r="AS282" s="3"/>
      <c r="AT282" s="3"/>
      <c r="AU282" s="3"/>
      <c r="AZ282" s="1"/>
      <c r="BA282" s="1"/>
      <c r="BB282" s="1"/>
      <c r="BC282" s="1"/>
      <c r="BD282" s="1"/>
      <c r="BE282" s="1"/>
      <c r="BF282" s="1"/>
    </row>
    <row r="283" spans="1:58">
      <c r="A283" s="109">
        <v>159</v>
      </c>
      <c r="B283" s="114" t="str">
        <f>VLOOKUP(A283,P_DIS!$B$32:$Q$263,12)</f>
        <v>-</v>
      </c>
      <c r="C283" s="114" t="str">
        <f>VLOOKUP(A283,P_DIS!$B$32:$Q$263,13)</f>
        <v>-</v>
      </c>
      <c r="D283" s="114" t="str">
        <f>VLOOKUP(A283,P_DIS!$B$32:$Q$263,15)</f>
        <v>-</v>
      </c>
      <c r="E283" s="114" t="str">
        <f>VLOOKUP(A283,P_DIS!$B$32:$Q$263,14)</f>
        <v>-</v>
      </c>
      <c r="F283" s="114">
        <f>VLOOKUP(A283,P_DIS!$B$32:$Q$263,10)</f>
        <v>0</v>
      </c>
      <c r="G283" s="114" t="str">
        <f>VLOOKUP(A283,P_DIS!$B$32:$Q$263,11)</f>
        <v>-</v>
      </c>
      <c r="H283" s="114" t="str">
        <f>VLOOKUP(A283,P_DIS!$B$32:$Q$263,16)</f>
        <v>-</v>
      </c>
      <c r="I283" s="115" t="str">
        <f t="shared" si="106"/>
        <v/>
      </c>
      <c r="J283" s="116" t="str">
        <f t="shared" si="107"/>
        <v/>
      </c>
      <c r="K283" s="117" t="str">
        <f t="shared" si="108"/>
        <v/>
      </c>
      <c r="L283" s="118" t="str">
        <f t="shared" si="109"/>
        <v/>
      </c>
      <c r="M283" s="118" t="str">
        <f t="shared" si="110"/>
        <v/>
      </c>
      <c r="N283" s="118" t="str">
        <f t="shared" si="111"/>
        <v/>
      </c>
      <c r="O283" s="118" t="str">
        <f t="shared" si="112"/>
        <v/>
      </c>
      <c r="P283" s="118" t="str">
        <f t="shared" si="113"/>
        <v/>
      </c>
      <c r="Q283" s="118" t="str">
        <f t="shared" si="114"/>
        <v/>
      </c>
      <c r="R283" s="118" t="str">
        <f t="shared" si="115"/>
        <v/>
      </c>
      <c r="S283" s="118" t="str">
        <f t="shared" si="116"/>
        <v/>
      </c>
      <c r="T283" s="119" t="str">
        <f t="shared" si="99"/>
        <v/>
      </c>
      <c r="U283" s="119" t="str">
        <f t="shared" si="100"/>
        <v/>
      </c>
      <c r="V283" s="120" t="str">
        <f t="shared" si="101"/>
        <v/>
      </c>
      <c r="W283" s="120" t="str">
        <f t="shared" si="102"/>
        <v/>
      </c>
      <c r="X283" s="120" t="str">
        <f t="shared" si="103"/>
        <v/>
      </c>
      <c r="Y283" s="121" t="str">
        <f t="shared" si="104"/>
        <v/>
      </c>
      <c r="Z283" s="121" t="str">
        <f t="shared" si="105"/>
        <v/>
      </c>
      <c r="AA283" s="122">
        <v>1</v>
      </c>
      <c r="AB283" s="123">
        <v>1</v>
      </c>
      <c r="AC283" s="123" t="str">
        <f t="shared" si="117"/>
        <v/>
      </c>
      <c r="AD283" s="123" t="str">
        <f t="shared" si="118"/>
        <v/>
      </c>
      <c r="AE283" s="123" t="str">
        <f t="shared" si="119"/>
        <v/>
      </c>
      <c r="AF283" s="123" t="str">
        <f t="shared" si="120"/>
        <v/>
      </c>
      <c r="AG283" s="123" t="str">
        <f t="shared" si="121"/>
        <v/>
      </c>
      <c r="AH283" s="115" t="str">
        <f t="shared" si="122"/>
        <v/>
      </c>
      <c r="AI283" s="115" t="str">
        <f t="shared" si="123"/>
        <v/>
      </c>
      <c r="AJ283" s="115" t="str">
        <f t="shared" si="124"/>
        <v/>
      </c>
      <c r="AK283" s="115" t="str">
        <f t="shared" si="125"/>
        <v/>
      </c>
      <c r="AL283" s="115" t="str">
        <f t="shared" si="126"/>
        <v/>
      </c>
      <c r="AM283" s="115" t="str">
        <f t="shared" si="127"/>
        <v/>
      </c>
      <c r="AN283" s="115" t="str">
        <f t="shared" si="128"/>
        <v/>
      </c>
      <c r="AO283" s="3"/>
      <c r="AP283" s="3"/>
      <c r="AQ283" s="3"/>
      <c r="AR283" s="3"/>
      <c r="AS283" s="3"/>
      <c r="AT283" s="3"/>
      <c r="AU283" s="3"/>
      <c r="AZ283" s="1"/>
      <c r="BA283" s="1"/>
      <c r="BB283" s="1"/>
      <c r="BC283" s="1"/>
      <c r="BD283" s="1"/>
      <c r="BE283" s="1"/>
      <c r="BF283" s="1"/>
    </row>
    <row r="284" spans="1:58">
      <c r="A284" s="109">
        <v>160</v>
      </c>
      <c r="B284" s="114" t="str">
        <f>VLOOKUP(A284,P_DIS!$B$32:$Q$263,12)</f>
        <v>-</v>
      </c>
      <c r="C284" s="114" t="str">
        <f>VLOOKUP(A284,P_DIS!$B$32:$Q$263,13)</f>
        <v>-</v>
      </c>
      <c r="D284" s="114" t="str">
        <f>VLOOKUP(A284,P_DIS!$B$32:$Q$263,15)</f>
        <v>-</v>
      </c>
      <c r="E284" s="114" t="str">
        <f>VLOOKUP(A284,P_DIS!$B$32:$Q$263,14)</f>
        <v>-</v>
      </c>
      <c r="F284" s="114">
        <f>VLOOKUP(A284,P_DIS!$B$32:$Q$263,10)</f>
        <v>0</v>
      </c>
      <c r="G284" s="114" t="str">
        <f>VLOOKUP(A284,P_DIS!$B$32:$Q$263,11)</f>
        <v>-</v>
      </c>
      <c r="H284" s="114" t="str">
        <f>VLOOKUP(A284,P_DIS!$B$32:$Q$263,16)</f>
        <v>-</v>
      </c>
      <c r="I284" s="115" t="str">
        <f t="shared" si="106"/>
        <v/>
      </c>
      <c r="J284" s="116" t="str">
        <f t="shared" si="107"/>
        <v/>
      </c>
      <c r="K284" s="117" t="str">
        <f t="shared" si="108"/>
        <v/>
      </c>
      <c r="L284" s="118" t="str">
        <f t="shared" si="109"/>
        <v/>
      </c>
      <c r="M284" s="118" t="str">
        <f t="shared" si="110"/>
        <v/>
      </c>
      <c r="N284" s="118" t="str">
        <f t="shared" si="111"/>
        <v/>
      </c>
      <c r="O284" s="118" t="str">
        <f t="shared" si="112"/>
        <v/>
      </c>
      <c r="P284" s="118" t="str">
        <f t="shared" si="113"/>
        <v/>
      </c>
      <c r="Q284" s="118" t="str">
        <f t="shared" si="114"/>
        <v/>
      </c>
      <c r="R284" s="118" t="str">
        <f t="shared" si="115"/>
        <v/>
      </c>
      <c r="S284" s="118" t="str">
        <f t="shared" si="116"/>
        <v/>
      </c>
      <c r="T284" s="119" t="str">
        <f t="shared" si="99"/>
        <v/>
      </c>
      <c r="U284" s="119" t="str">
        <f t="shared" si="100"/>
        <v/>
      </c>
      <c r="V284" s="120" t="str">
        <f t="shared" si="101"/>
        <v/>
      </c>
      <c r="W284" s="120" t="str">
        <f t="shared" si="102"/>
        <v/>
      </c>
      <c r="X284" s="120" t="str">
        <f t="shared" si="103"/>
        <v/>
      </c>
      <c r="Y284" s="121" t="str">
        <f t="shared" si="104"/>
        <v/>
      </c>
      <c r="Z284" s="121" t="str">
        <f t="shared" si="105"/>
        <v/>
      </c>
      <c r="AA284" s="122">
        <v>1</v>
      </c>
      <c r="AB284" s="123">
        <v>1</v>
      </c>
      <c r="AC284" s="123" t="str">
        <f t="shared" si="117"/>
        <v/>
      </c>
      <c r="AD284" s="123" t="str">
        <f t="shared" si="118"/>
        <v/>
      </c>
      <c r="AE284" s="123" t="str">
        <f t="shared" si="119"/>
        <v/>
      </c>
      <c r="AF284" s="123" t="str">
        <f t="shared" si="120"/>
        <v/>
      </c>
      <c r="AG284" s="123" t="str">
        <f t="shared" si="121"/>
        <v/>
      </c>
      <c r="AH284" s="115" t="str">
        <f t="shared" si="122"/>
        <v/>
      </c>
      <c r="AI284" s="115" t="str">
        <f t="shared" si="123"/>
        <v/>
      </c>
      <c r="AJ284" s="115" t="str">
        <f t="shared" si="124"/>
        <v/>
      </c>
      <c r="AK284" s="115" t="str">
        <f t="shared" si="125"/>
        <v/>
      </c>
      <c r="AL284" s="115" t="str">
        <f t="shared" si="126"/>
        <v/>
      </c>
      <c r="AM284" s="115" t="str">
        <f t="shared" si="127"/>
        <v/>
      </c>
      <c r="AN284" s="115" t="str">
        <f t="shared" si="128"/>
        <v/>
      </c>
      <c r="AO284" s="3"/>
      <c r="AP284" s="3"/>
      <c r="AQ284" s="3"/>
      <c r="AR284" s="3"/>
      <c r="AS284" s="3"/>
      <c r="AT284" s="3"/>
      <c r="AU284" s="3"/>
      <c r="AZ284" s="1"/>
      <c r="BA284" s="1"/>
      <c r="BB284" s="1"/>
      <c r="BC284" s="1"/>
      <c r="BD284" s="1"/>
      <c r="BE284" s="1"/>
      <c r="BF284" s="1"/>
    </row>
    <row r="285" spans="1:58">
      <c r="A285" s="109">
        <v>161</v>
      </c>
      <c r="B285" s="114" t="str">
        <f>VLOOKUP(A285,P_DIS!$B$32:$Q$263,12)</f>
        <v>-</v>
      </c>
      <c r="C285" s="114" t="str">
        <f>VLOOKUP(A285,P_DIS!$B$32:$Q$263,13)</f>
        <v>-</v>
      </c>
      <c r="D285" s="114" t="str">
        <f>VLOOKUP(A285,P_DIS!$B$32:$Q$263,15)</f>
        <v>-</v>
      </c>
      <c r="E285" s="114" t="str">
        <f>VLOOKUP(A285,P_DIS!$B$32:$Q$263,14)</f>
        <v>-</v>
      </c>
      <c r="F285" s="114">
        <f>VLOOKUP(A285,P_DIS!$B$32:$Q$263,10)</f>
        <v>0</v>
      </c>
      <c r="G285" s="114" t="str">
        <f>VLOOKUP(A285,P_DIS!$B$32:$Q$263,11)</f>
        <v>-</v>
      </c>
      <c r="H285" s="114" t="str">
        <f>VLOOKUP(A285,P_DIS!$B$32:$Q$263,16)</f>
        <v>-</v>
      </c>
      <c r="I285" s="115" t="str">
        <f t="shared" si="106"/>
        <v/>
      </c>
      <c r="J285" s="116" t="str">
        <f t="shared" si="107"/>
        <v/>
      </c>
      <c r="K285" s="117" t="str">
        <f t="shared" si="108"/>
        <v/>
      </c>
      <c r="L285" s="118" t="str">
        <f t="shared" si="109"/>
        <v/>
      </c>
      <c r="M285" s="118" t="str">
        <f t="shared" si="110"/>
        <v/>
      </c>
      <c r="N285" s="118" t="str">
        <f t="shared" si="111"/>
        <v/>
      </c>
      <c r="O285" s="118" t="str">
        <f t="shared" si="112"/>
        <v/>
      </c>
      <c r="P285" s="118" t="str">
        <f t="shared" si="113"/>
        <v/>
      </c>
      <c r="Q285" s="118" t="str">
        <f t="shared" si="114"/>
        <v/>
      </c>
      <c r="R285" s="118" t="str">
        <f t="shared" si="115"/>
        <v/>
      </c>
      <c r="S285" s="118" t="str">
        <f t="shared" si="116"/>
        <v/>
      </c>
      <c r="T285" s="119" t="str">
        <f t="shared" si="99"/>
        <v/>
      </c>
      <c r="U285" s="119" t="str">
        <f t="shared" si="100"/>
        <v/>
      </c>
      <c r="V285" s="120" t="str">
        <f t="shared" si="101"/>
        <v/>
      </c>
      <c r="W285" s="120" t="str">
        <f t="shared" si="102"/>
        <v/>
      </c>
      <c r="X285" s="120" t="str">
        <f t="shared" ref="X285:X316" si="129">IF(H285="-","",SQRT($D$88+($D$89*POWER(B285,2))))</f>
        <v/>
      </c>
      <c r="Y285" s="121" t="str">
        <f t="shared" ref="Y285:Y316" si="130">IF(H285="-","",$D$109)</f>
        <v/>
      </c>
      <c r="Z285" s="121" t="str">
        <f t="shared" ref="Z285:Z316" si="131">IF(H285="-","",$G$118)</f>
        <v/>
      </c>
      <c r="AA285" s="122">
        <v>1</v>
      </c>
      <c r="AB285" s="123">
        <v>1</v>
      </c>
      <c r="AC285" s="123" t="str">
        <f t="shared" si="117"/>
        <v/>
      </c>
      <c r="AD285" s="123" t="str">
        <f t="shared" si="118"/>
        <v/>
      </c>
      <c r="AE285" s="123" t="str">
        <f t="shared" si="119"/>
        <v/>
      </c>
      <c r="AF285" s="123" t="str">
        <f t="shared" si="120"/>
        <v/>
      </c>
      <c r="AG285" s="123" t="str">
        <f t="shared" si="121"/>
        <v/>
      </c>
      <c r="AH285" s="115" t="str">
        <f t="shared" si="122"/>
        <v/>
      </c>
      <c r="AI285" s="115" t="str">
        <f t="shared" si="123"/>
        <v/>
      </c>
      <c r="AJ285" s="115" t="str">
        <f t="shared" si="124"/>
        <v/>
      </c>
      <c r="AK285" s="115" t="str">
        <f t="shared" si="125"/>
        <v/>
      </c>
      <c r="AL285" s="115" t="str">
        <f t="shared" si="126"/>
        <v/>
      </c>
      <c r="AM285" s="115" t="str">
        <f t="shared" si="127"/>
        <v/>
      </c>
      <c r="AN285" s="115" t="str">
        <f t="shared" si="128"/>
        <v/>
      </c>
      <c r="AO285" s="3"/>
      <c r="AP285" s="3"/>
      <c r="AQ285" s="3"/>
      <c r="AR285" s="3"/>
      <c r="AS285" s="3"/>
      <c r="AT285" s="3"/>
      <c r="AU285" s="3"/>
      <c r="AZ285" s="1"/>
      <c r="BA285" s="1"/>
      <c r="BB285" s="1"/>
      <c r="BC285" s="1"/>
      <c r="BD285" s="1"/>
      <c r="BE285" s="1"/>
      <c r="BF285" s="1"/>
    </row>
    <row r="286" spans="1:58">
      <c r="A286" s="109">
        <v>162</v>
      </c>
      <c r="B286" s="114" t="str">
        <f>VLOOKUP(A286,P_DIS!$B$32:$Q$263,12)</f>
        <v>-</v>
      </c>
      <c r="C286" s="114" t="str">
        <f>VLOOKUP(A286,P_DIS!$B$32:$Q$263,13)</f>
        <v>-</v>
      </c>
      <c r="D286" s="114" t="str">
        <f>VLOOKUP(A286,P_DIS!$B$32:$Q$263,15)</f>
        <v>-</v>
      </c>
      <c r="E286" s="114" t="str">
        <f>VLOOKUP(A286,P_DIS!$B$32:$Q$263,14)</f>
        <v>-</v>
      </c>
      <c r="F286" s="114">
        <f>VLOOKUP(A286,P_DIS!$B$32:$Q$263,10)</f>
        <v>0</v>
      </c>
      <c r="G286" s="114" t="str">
        <f>VLOOKUP(A286,P_DIS!$B$32:$Q$263,11)</f>
        <v>-</v>
      </c>
      <c r="H286" s="114" t="str">
        <f>VLOOKUP(A286,P_DIS!$B$32:$Q$263,16)</f>
        <v>-</v>
      </c>
      <c r="I286" s="115" t="str">
        <f t="shared" si="106"/>
        <v/>
      </c>
      <c r="J286" s="116" t="str">
        <f t="shared" si="107"/>
        <v/>
      </c>
      <c r="K286" s="117" t="str">
        <f t="shared" si="108"/>
        <v/>
      </c>
      <c r="L286" s="118" t="str">
        <f t="shared" si="109"/>
        <v/>
      </c>
      <c r="M286" s="118" t="str">
        <f t="shared" si="110"/>
        <v/>
      </c>
      <c r="N286" s="118" t="str">
        <f t="shared" si="111"/>
        <v/>
      </c>
      <c r="O286" s="118" t="str">
        <f t="shared" si="112"/>
        <v/>
      </c>
      <c r="P286" s="118" t="str">
        <f t="shared" si="113"/>
        <v/>
      </c>
      <c r="Q286" s="118" t="str">
        <f t="shared" si="114"/>
        <v/>
      </c>
      <c r="R286" s="118" t="str">
        <f t="shared" si="115"/>
        <v/>
      </c>
      <c r="S286" s="118" t="str">
        <f t="shared" si="116"/>
        <v/>
      </c>
      <c r="T286" s="119" t="str">
        <f t="shared" si="99"/>
        <v/>
      </c>
      <c r="U286" s="119" t="str">
        <f t="shared" si="100"/>
        <v/>
      </c>
      <c r="V286" s="120" t="str">
        <f t="shared" si="101"/>
        <v/>
      </c>
      <c r="W286" s="120" t="str">
        <f t="shared" si="102"/>
        <v/>
      </c>
      <c r="X286" s="120" t="str">
        <f t="shared" si="129"/>
        <v/>
      </c>
      <c r="Y286" s="121" t="str">
        <f t="shared" si="130"/>
        <v/>
      </c>
      <c r="Z286" s="121" t="str">
        <f t="shared" si="131"/>
        <v/>
      </c>
      <c r="AA286" s="122">
        <v>1</v>
      </c>
      <c r="AB286" s="123">
        <v>1</v>
      </c>
      <c r="AC286" s="123" t="str">
        <f t="shared" si="117"/>
        <v/>
      </c>
      <c r="AD286" s="123" t="str">
        <f t="shared" si="118"/>
        <v/>
      </c>
      <c r="AE286" s="123" t="str">
        <f t="shared" si="119"/>
        <v/>
      </c>
      <c r="AF286" s="123" t="str">
        <f t="shared" si="120"/>
        <v/>
      </c>
      <c r="AG286" s="123" t="str">
        <f t="shared" si="121"/>
        <v/>
      </c>
      <c r="AH286" s="115" t="str">
        <f t="shared" si="122"/>
        <v/>
      </c>
      <c r="AI286" s="115" t="str">
        <f t="shared" si="123"/>
        <v/>
      </c>
      <c r="AJ286" s="115" t="str">
        <f t="shared" si="124"/>
        <v/>
      </c>
      <c r="AK286" s="115" t="str">
        <f t="shared" si="125"/>
        <v/>
      </c>
      <c r="AL286" s="115" t="str">
        <f t="shared" si="126"/>
        <v/>
      </c>
      <c r="AM286" s="115" t="str">
        <f t="shared" si="127"/>
        <v/>
      </c>
      <c r="AN286" s="115" t="str">
        <f t="shared" si="128"/>
        <v/>
      </c>
      <c r="AO286" s="3"/>
      <c r="AP286" s="3"/>
      <c r="AQ286" s="3"/>
      <c r="AR286" s="3"/>
      <c r="AS286" s="3"/>
      <c r="AT286" s="3"/>
      <c r="AU286" s="3"/>
      <c r="AZ286" s="1"/>
      <c r="BA286" s="1"/>
      <c r="BB286" s="1"/>
      <c r="BC286" s="1"/>
      <c r="BD286" s="1"/>
      <c r="BE286" s="1"/>
      <c r="BF286" s="1"/>
    </row>
    <row r="287" spans="1:58">
      <c r="A287" s="109">
        <v>163</v>
      </c>
      <c r="B287" s="114" t="str">
        <f>VLOOKUP(A287,P_DIS!$B$32:$Q$263,12)</f>
        <v>-</v>
      </c>
      <c r="C287" s="114" t="str">
        <f>VLOOKUP(A287,P_DIS!$B$32:$Q$263,13)</f>
        <v>-</v>
      </c>
      <c r="D287" s="114" t="str">
        <f>VLOOKUP(A287,P_DIS!$B$32:$Q$263,15)</f>
        <v>-</v>
      </c>
      <c r="E287" s="114" t="str">
        <f>VLOOKUP(A287,P_DIS!$B$32:$Q$263,14)</f>
        <v>-</v>
      </c>
      <c r="F287" s="114">
        <f>VLOOKUP(A287,P_DIS!$B$32:$Q$263,10)</f>
        <v>0</v>
      </c>
      <c r="G287" s="114" t="str">
        <f>VLOOKUP(A287,P_DIS!$B$32:$Q$263,11)</f>
        <v>-</v>
      </c>
      <c r="H287" s="114" t="str">
        <f>VLOOKUP(A287,P_DIS!$B$32:$Q$263,16)</f>
        <v>-</v>
      </c>
      <c r="I287" s="115" t="str">
        <f t="shared" si="106"/>
        <v/>
      </c>
      <c r="J287" s="116" t="str">
        <f t="shared" si="107"/>
        <v/>
      </c>
      <c r="K287" s="117" t="str">
        <f t="shared" si="108"/>
        <v/>
      </c>
      <c r="L287" s="118" t="str">
        <f t="shared" si="109"/>
        <v/>
      </c>
      <c r="M287" s="118" t="str">
        <f t="shared" si="110"/>
        <v/>
      </c>
      <c r="N287" s="118" t="str">
        <f t="shared" si="111"/>
        <v/>
      </c>
      <c r="O287" s="118" t="str">
        <f t="shared" si="112"/>
        <v/>
      </c>
      <c r="P287" s="118" t="str">
        <f t="shared" si="113"/>
        <v/>
      </c>
      <c r="Q287" s="118" t="str">
        <f t="shared" si="114"/>
        <v/>
      </c>
      <c r="R287" s="118" t="str">
        <f t="shared" si="115"/>
        <v/>
      </c>
      <c r="S287" s="118" t="str">
        <f t="shared" si="116"/>
        <v/>
      </c>
      <c r="T287" s="119" t="str">
        <f t="shared" si="99"/>
        <v/>
      </c>
      <c r="U287" s="119" t="str">
        <f t="shared" si="100"/>
        <v/>
      </c>
      <c r="V287" s="120" t="str">
        <f t="shared" si="101"/>
        <v/>
      </c>
      <c r="W287" s="120" t="str">
        <f t="shared" si="102"/>
        <v/>
      </c>
      <c r="X287" s="120" t="str">
        <f t="shared" si="129"/>
        <v/>
      </c>
      <c r="Y287" s="121" t="str">
        <f t="shared" si="130"/>
        <v/>
      </c>
      <c r="Z287" s="121" t="str">
        <f t="shared" si="131"/>
        <v/>
      </c>
      <c r="AA287" s="122">
        <v>1</v>
      </c>
      <c r="AB287" s="123">
        <v>1</v>
      </c>
      <c r="AC287" s="123" t="str">
        <f t="shared" si="117"/>
        <v/>
      </c>
      <c r="AD287" s="123" t="str">
        <f t="shared" si="118"/>
        <v/>
      </c>
      <c r="AE287" s="123" t="str">
        <f t="shared" si="119"/>
        <v/>
      </c>
      <c r="AF287" s="123" t="str">
        <f t="shared" si="120"/>
        <v/>
      </c>
      <c r="AG287" s="123" t="str">
        <f t="shared" si="121"/>
        <v/>
      </c>
      <c r="AH287" s="115" t="str">
        <f t="shared" si="122"/>
        <v/>
      </c>
      <c r="AI287" s="115" t="str">
        <f t="shared" si="123"/>
        <v/>
      </c>
      <c r="AJ287" s="115" t="str">
        <f t="shared" si="124"/>
        <v/>
      </c>
      <c r="AK287" s="115" t="str">
        <f t="shared" si="125"/>
        <v/>
      </c>
      <c r="AL287" s="115" t="str">
        <f t="shared" si="126"/>
        <v/>
      </c>
      <c r="AM287" s="115" t="str">
        <f t="shared" si="127"/>
        <v/>
      </c>
      <c r="AN287" s="115" t="str">
        <f t="shared" si="128"/>
        <v/>
      </c>
      <c r="AO287" s="3"/>
      <c r="AP287" s="3"/>
      <c r="AQ287" s="3"/>
      <c r="AR287" s="3"/>
      <c r="AS287" s="3"/>
      <c r="AT287" s="3"/>
      <c r="AU287" s="3"/>
      <c r="AZ287" s="1"/>
      <c r="BA287" s="1"/>
      <c r="BB287" s="1"/>
      <c r="BC287" s="1"/>
      <c r="BD287" s="1"/>
      <c r="BE287" s="1"/>
      <c r="BF287" s="1"/>
    </row>
    <row r="288" spans="1:58">
      <c r="A288" s="109">
        <v>164</v>
      </c>
      <c r="B288" s="114" t="str">
        <f>VLOOKUP(A288,P_DIS!$B$32:$Q$263,12)</f>
        <v>-</v>
      </c>
      <c r="C288" s="114" t="str">
        <f>VLOOKUP(A288,P_DIS!$B$32:$Q$263,13)</f>
        <v>-</v>
      </c>
      <c r="D288" s="114" t="str">
        <f>VLOOKUP(A288,P_DIS!$B$32:$Q$263,15)</f>
        <v>-</v>
      </c>
      <c r="E288" s="114" t="str">
        <f>VLOOKUP(A288,P_DIS!$B$32:$Q$263,14)</f>
        <v>-</v>
      </c>
      <c r="F288" s="114">
        <f>VLOOKUP(A288,P_DIS!$B$32:$Q$263,10)</f>
        <v>0</v>
      </c>
      <c r="G288" s="114" t="str">
        <f>VLOOKUP(A288,P_DIS!$B$32:$Q$263,11)</f>
        <v>-</v>
      </c>
      <c r="H288" s="114" t="str">
        <f>VLOOKUP(A288,P_DIS!$B$32:$Q$263,16)</f>
        <v>-</v>
      </c>
      <c r="I288" s="115" t="str">
        <f t="shared" si="106"/>
        <v/>
      </c>
      <c r="J288" s="116" t="str">
        <f t="shared" si="107"/>
        <v/>
      </c>
      <c r="K288" s="117" t="str">
        <f t="shared" si="108"/>
        <v/>
      </c>
      <c r="L288" s="118" t="str">
        <f t="shared" si="109"/>
        <v/>
      </c>
      <c r="M288" s="118" t="str">
        <f t="shared" si="110"/>
        <v/>
      </c>
      <c r="N288" s="118" t="str">
        <f t="shared" si="111"/>
        <v/>
      </c>
      <c r="O288" s="118" t="str">
        <f t="shared" si="112"/>
        <v/>
      </c>
      <c r="P288" s="118" t="str">
        <f t="shared" si="113"/>
        <v/>
      </c>
      <c r="Q288" s="118" t="str">
        <f t="shared" si="114"/>
        <v/>
      </c>
      <c r="R288" s="118" t="str">
        <f t="shared" si="115"/>
        <v/>
      </c>
      <c r="S288" s="118" t="str">
        <f t="shared" si="116"/>
        <v/>
      </c>
      <c r="T288" s="119" t="str">
        <f t="shared" si="99"/>
        <v/>
      </c>
      <c r="U288" s="119" t="str">
        <f t="shared" si="100"/>
        <v/>
      </c>
      <c r="V288" s="120" t="str">
        <f t="shared" si="101"/>
        <v/>
      </c>
      <c r="W288" s="120" t="str">
        <f t="shared" si="102"/>
        <v/>
      </c>
      <c r="X288" s="120" t="str">
        <f t="shared" si="129"/>
        <v/>
      </c>
      <c r="Y288" s="121" t="str">
        <f t="shared" si="130"/>
        <v/>
      </c>
      <c r="Z288" s="121" t="str">
        <f t="shared" si="131"/>
        <v/>
      </c>
      <c r="AA288" s="122">
        <v>1</v>
      </c>
      <c r="AB288" s="123">
        <v>1</v>
      </c>
      <c r="AC288" s="123" t="str">
        <f t="shared" si="117"/>
        <v/>
      </c>
      <c r="AD288" s="123" t="str">
        <f t="shared" si="118"/>
        <v/>
      </c>
      <c r="AE288" s="123" t="str">
        <f t="shared" si="119"/>
        <v/>
      </c>
      <c r="AF288" s="123" t="str">
        <f t="shared" si="120"/>
        <v/>
      </c>
      <c r="AG288" s="123" t="str">
        <f t="shared" si="121"/>
        <v/>
      </c>
      <c r="AH288" s="115" t="str">
        <f t="shared" si="122"/>
        <v/>
      </c>
      <c r="AI288" s="115" t="str">
        <f t="shared" si="123"/>
        <v/>
      </c>
      <c r="AJ288" s="115" t="str">
        <f t="shared" si="124"/>
        <v/>
      </c>
      <c r="AK288" s="115" t="str">
        <f t="shared" si="125"/>
        <v/>
      </c>
      <c r="AL288" s="115" t="str">
        <f t="shared" si="126"/>
        <v/>
      </c>
      <c r="AM288" s="115" t="str">
        <f t="shared" si="127"/>
        <v/>
      </c>
      <c r="AN288" s="115" t="str">
        <f t="shared" si="128"/>
        <v/>
      </c>
      <c r="AO288" s="3"/>
      <c r="AP288" s="3"/>
      <c r="AQ288" s="3"/>
      <c r="AR288" s="3"/>
      <c r="AS288" s="3"/>
      <c r="AT288" s="3"/>
      <c r="AU288" s="3"/>
      <c r="AZ288" s="1"/>
      <c r="BA288" s="1"/>
      <c r="BB288" s="1"/>
      <c r="BC288" s="1"/>
      <c r="BD288" s="1"/>
      <c r="BE288" s="1"/>
      <c r="BF288" s="1"/>
    </row>
    <row r="289" spans="1:58">
      <c r="A289" s="109">
        <v>165</v>
      </c>
      <c r="B289" s="114" t="str">
        <f>VLOOKUP(A289,P_DIS!$B$32:$Q$263,12)</f>
        <v>-</v>
      </c>
      <c r="C289" s="114" t="str">
        <f>VLOOKUP(A289,P_DIS!$B$32:$Q$263,13)</f>
        <v>-</v>
      </c>
      <c r="D289" s="114" t="str">
        <f>VLOOKUP(A289,P_DIS!$B$32:$Q$263,15)</f>
        <v>-</v>
      </c>
      <c r="E289" s="114" t="str">
        <f>VLOOKUP(A289,P_DIS!$B$32:$Q$263,14)</f>
        <v>-</v>
      </c>
      <c r="F289" s="114">
        <f>VLOOKUP(A289,P_DIS!$B$32:$Q$263,10)</f>
        <v>0</v>
      </c>
      <c r="G289" s="114" t="str">
        <f>VLOOKUP(A289,P_DIS!$B$32:$Q$263,11)</f>
        <v>-</v>
      </c>
      <c r="H289" s="114" t="str">
        <f>VLOOKUP(A289,P_DIS!$B$32:$Q$263,16)</f>
        <v>-</v>
      </c>
      <c r="I289" s="115" t="str">
        <f t="shared" si="106"/>
        <v/>
      </c>
      <c r="J289" s="116" t="str">
        <f t="shared" si="107"/>
        <v/>
      </c>
      <c r="K289" s="117" t="str">
        <f t="shared" si="108"/>
        <v/>
      </c>
      <c r="L289" s="118" t="str">
        <f t="shared" si="109"/>
        <v/>
      </c>
      <c r="M289" s="118" t="str">
        <f t="shared" si="110"/>
        <v/>
      </c>
      <c r="N289" s="118" t="str">
        <f t="shared" si="111"/>
        <v/>
      </c>
      <c r="O289" s="118" t="str">
        <f t="shared" si="112"/>
        <v/>
      </c>
      <c r="P289" s="118" t="str">
        <f t="shared" si="113"/>
        <v/>
      </c>
      <c r="Q289" s="118" t="str">
        <f t="shared" si="114"/>
        <v/>
      </c>
      <c r="R289" s="118" t="str">
        <f t="shared" si="115"/>
        <v/>
      </c>
      <c r="S289" s="118" t="str">
        <f t="shared" si="116"/>
        <v/>
      </c>
      <c r="T289" s="119" t="str">
        <f t="shared" si="99"/>
        <v/>
      </c>
      <c r="U289" s="119" t="str">
        <f t="shared" si="100"/>
        <v/>
      </c>
      <c r="V289" s="120" t="str">
        <f t="shared" si="101"/>
        <v/>
      </c>
      <c r="W289" s="120" t="str">
        <f t="shared" si="102"/>
        <v/>
      </c>
      <c r="X289" s="120" t="str">
        <f t="shared" si="129"/>
        <v/>
      </c>
      <c r="Y289" s="121" t="str">
        <f t="shared" si="130"/>
        <v/>
      </c>
      <c r="Z289" s="121" t="str">
        <f t="shared" si="131"/>
        <v/>
      </c>
      <c r="AA289" s="122">
        <v>1</v>
      </c>
      <c r="AB289" s="123">
        <v>1</v>
      </c>
      <c r="AC289" s="123" t="str">
        <f t="shared" si="117"/>
        <v/>
      </c>
      <c r="AD289" s="123" t="str">
        <f t="shared" si="118"/>
        <v/>
      </c>
      <c r="AE289" s="123" t="str">
        <f t="shared" si="119"/>
        <v/>
      </c>
      <c r="AF289" s="123" t="str">
        <f t="shared" si="120"/>
        <v/>
      </c>
      <c r="AG289" s="123" t="str">
        <f t="shared" si="121"/>
        <v/>
      </c>
      <c r="AH289" s="115" t="str">
        <f t="shared" si="122"/>
        <v/>
      </c>
      <c r="AI289" s="115" t="str">
        <f t="shared" si="123"/>
        <v/>
      </c>
      <c r="AJ289" s="115" t="str">
        <f t="shared" si="124"/>
        <v/>
      </c>
      <c r="AK289" s="115" t="str">
        <f t="shared" si="125"/>
        <v/>
      </c>
      <c r="AL289" s="115" t="str">
        <f t="shared" si="126"/>
        <v/>
      </c>
      <c r="AM289" s="115" t="str">
        <f t="shared" si="127"/>
        <v/>
      </c>
      <c r="AN289" s="115" t="str">
        <f t="shared" si="128"/>
        <v/>
      </c>
      <c r="AO289" s="3"/>
      <c r="AP289" s="3"/>
      <c r="AQ289" s="3"/>
      <c r="AR289" s="3"/>
      <c r="AS289" s="3"/>
      <c r="AT289" s="3"/>
      <c r="AU289" s="3"/>
      <c r="AZ289" s="1"/>
      <c r="BA289" s="1"/>
      <c r="BB289" s="1"/>
      <c r="BC289" s="1"/>
      <c r="BD289" s="1"/>
      <c r="BE289" s="1"/>
      <c r="BF289" s="1"/>
    </row>
    <row r="290" spans="1:58">
      <c r="A290" s="109">
        <v>166</v>
      </c>
      <c r="B290" s="114" t="str">
        <f>VLOOKUP(A290,P_DIS!$B$32:$Q$263,12)</f>
        <v>-</v>
      </c>
      <c r="C290" s="114" t="str">
        <f>VLOOKUP(A290,P_DIS!$B$32:$Q$263,13)</f>
        <v>-</v>
      </c>
      <c r="D290" s="114" t="str">
        <f>VLOOKUP(A290,P_DIS!$B$32:$Q$263,15)</f>
        <v>-</v>
      </c>
      <c r="E290" s="114" t="str">
        <f>VLOOKUP(A290,P_DIS!$B$32:$Q$263,14)</f>
        <v>-</v>
      </c>
      <c r="F290" s="114">
        <f>VLOOKUP(A290,P_DIS!$B$32:$Q$263,10)</f>
        <v>0</v>
      </c>
      <c r="G290" s="114" t="str">
        <f>VLOOKUP(A290,P_DIS!$B$32:$Q$263,11)</f>
        <v>-</v>
      </c>
      <c r="H290" s="114" t="str">
        <f>VLOOKUP(A290,P_DIS!$B$32:$Q$263,16)</f>
        <v>-</v>
      </c>
      <c r="I290" s="115" t="str">
        <f t="shared" si="106"/>
        <v/>
      </c>
      <c r="J290" s="116" t="str">
        <f t="shared" si="107"/>
        <v/>
      </c>
      <c r="K290" s="117" t="str">
        <f t="shared" si="108"/>
        <v/>
      </c>
      <c r="L290" s="118" t="str">
        <f t="shared" si="109"/>
        <v/>
      </c>
      <c r="M290" s="118" t="str">
        <f t="shared" si="110"/>
        <v/>
      </c>
      <c r="N290" s="118" t="str">
        <f t="shared" si="111"/>
        <v/>
      </c>
      <c r="O290" s="118" t="str">
        <f t="shared" si="112"/>
        <v/>
      </c>
      <c r="P290" s="118" t="str">
        <f t="shared" si="113"/>
        <v/>
      </c>
      <c r="Q290" s="118" t="str">
        <f t="shared" si="114"/>
        <v/>
      </c>
      <c r="R290" s="118" t="str">
        <f t="shared" si="115"/>
        <v/>
      </c>
      <c r="S290" s="118" t="str">
        <f t="shared" si="116"/>
        <v/>
      </c>
      <c r="T290" s="119" t="str">
        <f t="shared" si="99"/>
        <v/>
      </c>
      <c r="U290" s="119" t="str">
        <f t="shared" si="100"/>
        <v/>
      </c>
      <c r="V290" s="120" t="str">
        <f t="shared" si="101"/>
        <v/>
      </c>
      <c r="W290" s="120" t="str">
        <f t="shared" si="102"/>
        <v/>
      </c>
      <c r="X290" s="120" t="str">
        <f t="shared" si="129"/>
        <v/>
      </c>
      <c r="Y290" s="121" t="str">
        <f t="shared" si="130"/>
        <v/>
      </c>
      <c r="Z290" s="121" t="str">
        <f t="shared" si="131"/>
        <v/>
      </c>
      <c r="AA290" s="122">
        <v>1</v>
      </c>
      <c r="AB290" s="123">
        <v>1</v>
      </c>
      <c r="AC290" s="123" t="str">
        <f t="shared" si="117"/>
        <v/>
      </c>
      <c r="AD290" s="123" t="str">
        <f t="shared" si="118"/>
        <v/>
      </c>
      <c r="AE290" s="123" t="str">
        <f t="shared" si="119"/>
        <v/>
      </c>
      <c r="AF290" s="123" t="str">
        <f t="shared" si="120"/>
        <v/>
      </c>
      <c r="AG290" s="123" t="str">
        <f t="shared" si="121"/>
        <v/>
      </c>
      <c r="AH290" s="115" t="str">
        <f t="shared" si="122"/>
        <v/>
      </c>
      <c r="AI290" s="115" t="str">
        <f t="shared" si="123"/>
        <v/>
      </c>
      <c r="AJ290" s="115" t="str">
        <f t="shared" si="124"/>
        <v/>
      </c>
      <c r="AK290" s="115" t="str">
        <f t="shared" si="125"/>
        <v/>
      </c>
      <c r="AL290" s="115" t="str">
        <f t="shared" si="126"/>
        <v/>
      </c>
      <c r="AM290" s="115" t="str">
        <f t="shared" si="127"/>
        <v/>
      </c>
      <c r="AN290" s="115" t="str">
        <f t="shared" si="128"/>
        <v/>
      </c>
      <c r="AO290" s="3"/>
      <c r="AP290" s="3"/>
      <c r="AQ290" s="3"/>
      <c r="AR290" s="3"/>
      <c r="AS290" s="3"/>
      <c r="AT290" s="3"/>
      <c r="AU290" s="3"/>
      <c r="AZ290" s="1"/>
      <c r="BA290" s="1"/>
      <c r="BB290" s="1"/>
      <c r="BC290" s="1"/>
      <c r="BD290" s="1"/>
      <c r="BE290" s="1"/>
      <c r="BF290" s="1"/>
    </row>
    <row r="291" spans="1:58">
      <c r="A291" s="109">
        <v>167</v>
      </c>
      <c r="B291" s="114" t="str">
        <f>VLOOKUP(A291,P_DIS!$B$32:$Q$263,12)</f>
        <v>-</v>
      </c>
      <c r="C291" s="114" t="str">
        <f>VLOOKUP(A291,P_DIS!$B$32:$Q$263,13)</f>
        <v>-</v>
      </c>
      <c r="D291" s="114" t="str">
        <f>VLOOKUP(A291,P_DIS!$B$32:$Q$263,15)</f>
        <v>-</v>
      </c>
      <c r="E291" s="114" t="str">
        <f>VLOOKUP(A291,P_DIS!$B$32:$Q$263,14)</f>
        <v>-</v>
      </c>
      <c r="F291" s="114">
        <f>VLOOKUP(A291,P_DIS!$B$32:$Q$263,10)</f>
        <v>0</v>
      </c>
      <c r="G291" s="114" t="str">
        <f>VLOOKUP(A291,P_DIS!$B$32:$Q$263,11)</f>
        <v>-</v>
      </c>
      <c r="H291" s="114" t="str">
        <f>VLOOKUP(A291,P_DIS!$B$32:$Q$263,16)</f>
        <v>-</v>
      </c>
      <c r="I291" s="115" t="str">
        <f t="shared" si="106"/>
        <v/>
      </c>
      <c r="J291" s="116" t="str">
        <f t="shared" si="107"/>
        <v/>
      </c>
      <c r="K291" s="117" t="str">
        <f t="shared" si="108"/>
        <v/>
      </c>
      <c r="L291" s="118" t="str">
        <f t="shared" si="109"/>
        <v/>
      </c>
      <c r="M291" s="118" t="str">
        <f t="shared" si="110"/>
        <v/>
      </c>
      <c r="N291" s="118" t="str">
        <f t="shared" si="111"/>
        <v/>
      </c>
      <c r="O291" s="118" t="str">
        <f t="shared" si="112"/>
        <v/>
      </c>
      <c r="P291" s="118" t="str">
        <f t="shared" si="113"/>
        <v/>
      </c>
      <c r="Q291" s="118" t="str">
        <f t="shared" si="114"/>
        <v/>
      </c>
      <c r="R291" s="118" t="str">
        <f t="shared" si="115"/>
        <v/>
      </c>
      <c r="S291" s="118" t="str">
        <f t="shared" si="116"/>
        <v/>
      </c>
      <c r="T291" s="119" t="str">
        <f t="shared" si="99"/>
        <v/>
      </c>
      <c r="U291" s="119" t="str">
        <f t="shared" si="100"/>
        <v/>
      </c>
      <c r="V291" s="120" t="str">
        <f t="shared" si="101"/>
        <v/>
      </c>
      <c r="W291" s="120" t="str">
        <f t="shared" si="102"/>
        <v/>
      </c>
      <c r="X291" s="120" t="str">
        <f t="shared" si="129"/>
        <v/>
      </c>
      <c r="Y291" s="121" t="str">
        <f t="shared" si="130"/>
        <v/>
      </c>
      <c r="Z291" s="121" t="str">
        <f t="shared" si="131"/>
        <v/>
      </c>
      <c r="AA291" s="122">
        <v>1</v>
      </c>
      <c r="AB291" s="123">
        <v>1</v>
      </c>
      <c r="AC291" s="123" t="str">
        <f t="shared" si="117"/>
        <v/>
      </c>
      <c r="AD291" s="123" t="str">
        <f t="shared" si="118"/>
        <v/>
      </c>
      <c r="AE291" s="123" t="str">
        <f t="shared" si="119"/>
        <v/>
      </c>
      <c r="AF291" s="123" t="str">
        <f t="shared" si="120"/>
        <v/>
      </c>
      <c r="AG291" s="123" t="str">
        <f t="shared" si="121"/>
        <v/>
      </c>
      <c r="AH291" s="115" t="str">
        <f t="shared" si="122"/>
        <v/>
      </c>
      <c r="AI291" s="115" t="str">
        <f t="shared" si="123"/>
        <v/>
      </c>
      <c r="AJ291" s="115" t="str">
        <f t="shared" si="124"/>
        <v/>
      </c>
      <c r="AK291" s="115" t="str">
        <f t="shared" si="125"/>
        <v/>
      </c>
      <c r="AL291" s="115" t="str">
        <f t="shared" si="126"/>
        <v/>
      </c>
      <c r="AM291" s="115" t="str">
        <f t="shared" si="127"/>
        <v/>
      </c>
      <c r="AN291" s="115" t="str">
        <f t="shared" si="128"/>
        <v/>
      </c>
      <c r="AO291" s="3"/>
      <c r="AP291" s="3"/>
      <c r="AQ291" s="3"/>
      <c r="AR291" s="3"/>
      <c r="AS291" s="3"/>
      <c r="AT291" s="3"/>
      <c r="AU291" s="3"/>
      <c r="AZ291" s="1"/>
      <c r="BA291" s="1"/>
      <c r="BB291" s="1"/>
      <c r="BC291" s="1"/>
      <c r="BD291" s="1"/>
      <c r="BE291" s="1"/>
      <c r="BF291" s="1"/>
    </row>
    <row r="292" spans="1:58">
      <c r="A292" s="109">
        <v>168</v>
      </c>
      <c r="B292" s="114" t="str">
        <f>VLOOKUP(A292,P_DIS!$B$32:$Q$263,12)</f>
        <v>-</v>
      </c>
      <c r="C292" s="114" t="str">
        <f>VLOOKUP(A292,P_DIS!$B$32:$Q$263,13)</f>
        <v>-</v>
      </c>
      <c r="D292" s="114" t="str">
        <f>VLOOKUP(A292,P_DIS!$B$32:$Q$263,15)</f>
        <v>-</v>
      </c>
      <c r="E292" s="114" t="str">
        <f>VLOOKUP(A292,P_DIS!$B$32:$Q$263,14)</f>
        <v>-</v>
      </c>
      <c r="F292" s="114">
        <f>VLOOKUP(A292,P_DIS!$B$32:$Q$263,10)</f>
        <v>0</v>
      </c>
      <c r="G292" s="114" t="str">
        <f>VLOOKUP(A292,P_DIS!$B$32:$Q$263,11)</f>
        <v>-</v>
      </c>
      <c r="H292" s="114" t="str">
        <f>VLOOKUP(A292,P_DIS!$B$32:$Q$263,16)</f>
        <v>-</v>
      </c>
      <c r="I292" s="115" t="str">
        <f t="shared" si="106"/>
        <v/>
      </c>
      <c r="J292" s="116" t="str">
        <f t="shared" si="107"/>
        <v/>
      </c>
      <c r="K292" s="117" t="str">
        <f t="shared" si="108"/>
        <v/>
      </c>
      <c r="L292" s="118" t="str">
        <f t="shared" si="109"/>
        <v/>
      </c>
      <c r="M292" s="118" t="str">
        <f t="shared" si="110"/>
        <v/>
      </c>
      <c r="N292" s="118" t="str">
        <f t="shared" si="111"/>
        <v/>
      </c>
      <c r="O292" s="118" t="str">
        <f t="shared" si="112"/>
        <v/>
      </c>
      <c r="P292" s="118" t="str">
        <f t="shared" si="113"/>
        <v/>
      </c>
      <c r="Q292" s="118" t="str">
        <f t="shared" si="114"/>
        <v/>
      </c>
      <c r="R292" s="118" t="str">
        <f t="shared" si="115"/>
        <v/>
      </c>
      <c r="S292" s="118" t="str">
        <f t="shared" si="116"/>
        <v/>
      </c>
      <c r="T292" s="119" t="str">
        <f t="shared" si="99"/>
        <v/>
      </c>
      <c r="U292" s="119" t="str">
        <f t="shared" si="100"/>
        <v/>
      </c>
      <c r="V292" s="120" t="str">
        <f t="shared" si="101"/>
        <v/>
      </c>
      <c r="W292" s="120" t="str">
        <f t="shared" si="102"/>
        <v/>
      </c>
      <c r="X292" s="120" t="str">
        <f t="shared" si="129"/>
        <v/>
      </c>
      <c r="Y292" s="121" t="str">
        <f t="shared" si="130"/>
        <v/>
      </c>
      <c r="Z292" s="121" t="str">
        <f t="shared" si="131"/>
        <v/>
      </c>
      <c r="AA292" s="122">
        <v>1</v>
      </c>
      <c r="AB292" s="123">
        <v>1</v>
      </c>
      <c r="AC292" s="123" t="str">
        <f t="shared" si="117"/>
        <v/>
      </c>
      <c r="AD292" s="123" t="str">
        <f t="shared" si="118"/>
        <v/>
      </c>
      <c r="AE292" s="123" t="str">
        <f t="shared" si="119"/>
        <v/>
      </c>
      <c r="AF292" s="123" t="str">
        <f t="shared" si="120"/>
        <v/>
      </c>
      <c r="AG292" s="123" t="str">
        <f t="shared" si="121"/>
        <v/>
      </c>
      <c r="AH292" s="115" t="str">
        <f t="shared" si="122"/>
        <v/>
      </c>
      <c r="AI292" s="115" t="str">
        <f t="shared" si="123"/>
        <v/>
      </c>
      <c r="AJ292" s="115" t="str">
        <f t="shared" si="124"/>
        <v/>
      </c>
      <c r="AK292" s="115" t="str">
        <f t="shared" si="125"/>
        <v/>
      </c>
      <c r="AL292" s="115" t="str">
        <f t="shared" si="126"/>
        <v/>
      </c>
      <c r="AM292" s="115" t="str">
        <f t="shared" si="127"/>
        <v/>
      </c>
      <c r="AN292" s="115" t="str">
        <f t="shared" si="128"/>
        <v/>
      </c>
      <c r="AO292" s="3"/>
      <c r="AP292" s="3"/>
      <c r="AQ292" s="3"/>
      <c r="AR292" s="3"/>
      <c r="AS292" s="3"/>
      <c r="AT292" s="3"/>
      <c r="AU292" s="3"/>
      <c r="AZ292" s="1"/>
      <c r="BA292" s="1"/>
      <c r="BB292" s="1"/>
      <c r="BC292" s="1"/>
      <c r="BD292" s="1"/>
      <c r="BE292" s="1"/>
      <c r="BF292" s="1"/>
    </row>
    <row r="293" spans="1:58">
      <c r="A293" s="109">
        <v>169</v>
      </c>
      <c r="B293" s="114" t="str">
        <f>VLOOKUP(A293,P_DIS!$B$32:$Q$263,12)</f>
        <v>-</v>
      </c>
      <c r="C293" s="114" t="str">
        <f>VLOOKUP(A293,P_DIS!$B$32:$Q$263,13)</f>
        <v>-</v>
      </c>
      <c r="D293" s="114" t="str">
        <f>VLOOKUP(A293,P_DIS!$B$32:$Q$263,15)</f>
        <v>-</v>
      </c>
      <c r="E293" s="114" t="str">
        <f>VLOOKUP(A293,P_DIS!$B$32:$Q$263,14)</f>
        <v>-</v>
      </c>
      <c r="F293" s="114">
        <f>VLOOKUP(A293,P_DIS!$B$32:$Q$263,10)</f>
        <v>0</v>
      </c>
      <c r="G293" s="114" t="str">
        <f>VLOOKUP(A293,P_DIS!$B$32:$Q$263,11)</f>
        <v>-</v>
      </c>
      <c r="H293" s="114" t="str">
        <f>VLOOKUP(A293,P_DIS!$B$32:$Q$263,16)</f>
        <v>-</v>
      </c>
      <c r="I293" s="115" t="str">
        <f t="shared" si="106"/>
        <v/>
      </c>
      <c r="J293" s="116" t="str">
        <f t="shared" si="107"/>
        <v/>
      </c>
      <c r="K293" s="117" t="str">
        <f t="shared" si="108"/>
        <v/>
      </c>
      <c r="L293" s="118" t="str">
        <f t="shared" si="109"/>
        <v/>
      </c>
      <c r="M293" s="118" t="str">
        <f t="shared" si="110"/>
        <v/>
      </c>
      <c r="N293" s="118" t="str">
        <f t="shared" si="111"/>
        <v/>
      </c>
      <c r="O293" s="118" t="str">
        <f t="shared" si="112"/>
        <v/>
      </c>
      <c r="P293" s="118" t="str">
        <f t="shared" si="113"/>
        <v/>
      </c>
      <c r="Q293" s="118" t="str">
        <f t="shared" si="114"/>
        <v/>
      </c>
      <c r="R293" s="118" t="str">
        <f t="shared" si="115"/>
        <v/>
      </c>
      <c r="S293" s="118" t="str">
        <f t="shared" si="116"/>
        <v/>
      </c>
      <c r="T293" s="119" t="str">
        <f t="shared" si="99"/>
        <v/>
      </c>
      <c r="U293" s="119" t="str">
        <f t="shared" si="100"/>
        <v/>
      </c>
      <c r="V293" s="120" t="str">
        <f t="shared" si="101"/>
        <v/>
      </c>
      <c r="W293" s="120" t="str">
        <f t="shared" si="102"/>
        <v/>
      </c>
      <c r="X293" s="120" t="str">
        <f t="shared" si="129"/>
        <v/>
      </c>
      <c r="Y293" s="121" t="str">
        <f t="shared" si="130"/>
        <v/>
      </c>
      <c r="Z293" s="121" t="str">
        <f t="shared" si="131"/>
        <v/>
      </c>
      <c r="AA293" s="122">
        <v>1</v>
      </c>
      <c r="AB293" s="123">
        <v>1</v>
      </c>
      <c r="AC293" s="123" t="str">
        <f t="shared" si="117"/>
        <v/>
      </c>
      <c r="AD293" s="123" t="str">
        <f t="shared" si="118"/>
        <v/>
      </c>
      <c r="AE293" s="123" t="str">
        <f t="shared" si="119"/>
        <v/>
      </c>
      <c r="AF293" s="123" t="str">
        <f t="shared" si="120"/>
        <v/>
      </c>
      <c r="AG293" s="123" t="str">
        <f t="shared" si="121"/>
        <v/>
      </c>
      <c r="AH293" s="115" t="str">
        <f t="shared" si="122"/>
        <v/>
      </c>
      <c r="AI293" s="115" t="str">
        <f t="shared" si="123"/>
        <v/>
      </c>
      <c r="AJ293" s="115" t="str">
        <f t="shared" si="124"/>
        <v/>
      </c>
      <c r="AK293" s="115" t="str">
        <f t="shared" si="125"/>
        <v/>
      </c>
      <c r="AL293" s="115" t="str">
        <f t="shared" si="126"/>
        <v/>
      </c>
      <c r="AM293" s="115" t="str">
        <f t="shared" si="127"/>
        <v/>
      </c>
      <c r="AN293" s="115" t="str">
        <f t="shared" si="128"/>
        <v/>
      </c>
      <c r="AO293" s="3"/>
      <c r="AP293" s="3"/>
      <c r="AQ293" s="3"/>
      <c r="AR293" s="3"/>
      <c r="AS293" s="3"/>
      <c r="AT293" s="3"/>
      <c r="AU293" s="3"/>
      <c r="AZ293" s="1"/>
      <c r="BA293" s="1"/>
      <c r="BB293" s="1"/>
      <c r="BC293" s="1"/>
      <c r="BD293" s="1"/>
      <c r="BE293" s="1"/>
      <c r="BF293" s="1"/>
    </row>
    <row r="294" spans="1:58">
      <c r="A294" s="109">
        <v>170</v>
      </c>
      <c r="B294" s="114" t="str">
        <f>VLOOKUP(A294,P_DIS!$B$32:$Q$263,12)</f>
        <v>-</v>
      </c>
      <c r="C294" s="114" t="str">
        <f>VLOOKUP(A294,P_DIS!$B$32:$Q$263,13)</f>
        <v>-</v>
      </c>
      <c r="D294" s="114" t="str">
        <f>VLOOKUP(A294,P_DIS!$B$32:$Q$263,15)</f>
        <v>-</v>
      </c>
      <c r="E294" s="114" t="str">
        <f>VLOOKUP(A294,P_DIS!$B$32:$Q$263,14)</f>
        <v>-</v>
      </c>
      <c r="F294" s="114">
        <f>VLOOKUP(A294,P_DIS!$B$32:$Q$263,10)</f>
        <v>0</v>
      </c>
      <c r="G294" s="114" t="str">
        <f>VLOOKUP(A294,P_DIS!$B$32:$Q$263,11)</f>
        <v>-</v>
      </c>
      <c r="H294" s="114" t="str">
        <f>VLOOKUP(A294,P_DIS!$B$32:$Q$263,16)</f>
        <v>-</v>
      </c>
      <c r="I294" s="115" t="str">
        <f t="shared" si="106"/>
        <v/>
      </c>
      <c r="J294" s="116" t="str">
        <f t="shared" si="107"/>
        <v/>
      </c>
      <c r="K294" s="117" t="str">
        <f t="shared" si="108"/>
        <v/>
      </c>
      <c r="L294" s="118" t="str">
        <f t="shared" si="109"/>
        <v/>
      </c>
      <c r="M294" s="118" t="str">
        <f t="shared" si="110"/>
        <v/>
      </c>
      <c r="N294" s="118" t="str">
        <f t="shared" si="111"/>
        <v/>
      </c>
      <c r="O294" s="118" t="str">
        <f t="shared" si="112"/>
        <v/>
      </c>
      <c r="P294" s="118" t="str">
        <f t="shared" si="113"/>
        <v/>
      </c>
      <c r="Q294" s="118" t="str">
        <f t="shared" si="114"/>
        <v/>
      </c>
      <c r="R294" s="118" t="str">
        <f t="shared" si="115"/>
        <v/>
      </c>
      <c r="S294" s="118" t="str">
        <f t="shared" si="116"/>
        <v/>
      </c>
      <c r="T294" s="119" t="str">
        <f t="shared" si="99"/>
        <v/>
      </c>
      <c r="U294" s="119" t="str">
        <f t="shared" si="100"/>
        <v/>
      </c>
      <c r="V294" s="120" t="str">
        <f t="shared" si="101"/>
        <v/>
      </c>
      <c r="W294" s="120" t="str">
        <f t="shared" si="102"/>
        <v/>
      </c>
      <c r="X294" s="120" t="str">
        <f t="shared" si="129"/>
        <v/>
      </c>
      <c r="Y294" s="121" t="str">
        <f t="shared" si="130"/>
        <v/>
      </c>
      <c r="Z294" s="121" t="str">
        <f t="shared" si="131"/>
        <v/>
      </c>
      <c r="AA294" s="122">
        <v>1</v>
      </c>
      <c r="AB294" s="123">
        <v>1</v>
      </c>
      <c r="AC294" s="123" t="str">
        <f t="shared" si="117"/>
        <v/>
      </c>
      <c r="AD294" s="123" t="str">
        <f t="shared" si="118"/>
        <v/>
      </c>
      <c r="AE294" s="123" t="str">
        <f t="shared" si="119"/>
        <v/>
      </c>
      <c r="AF294" s="123" t="str">
        <f t="shared" si="120"/>
        <v/>
      </c>
      <c r="AG294" s="123" t="str">
        <f t="shared" si="121"/>
        <v/>
      </c>
      <c r="AH294" s="115" t="str">
        <f t="shared" si="122"/>
        <v/>
      </c>
      <c r="AI294" s="115" t="str">
        <f t="shared" si="123"/>
        <v/>
      </c>
      <c r="AJ294" s="115" t="str">
        <f t="shared" si="124"/>
        <v/>
      </c>
      <c r="AK294" s="115" t="str">
        <f t="shared" si="125"/>
        <v/>
      </c>
      <c r="AL294" s="115" t="str">
        <f t="shared" si="126"/>
        <v/>
      </c>
      <c r="AM294" s="115" t="str">
        <f t="shared" si="127"/>
        <v/>
      </c>
      <c r="AN294" s="115" t="str">
        <f t="shared" si="128"/>
        <v/>
      </c>
      <c r="AO294" s="3"/>
      <c r="AP294" s="3"/>
      <c r="AQ294" s="3"/>
      <c r="AR294" s="3"/>
      <c r="AS294" s="3"/>
      <c r="AT294" s="3"/>
      <c r="AU294" s="3"/>
      <c r="AZ294" s="1"/>
      <c r="BA294" s="1"/>
      <c r="BB294" s="1"/>
      <c r="BC294" s="1"/>
      <c r="BD294" s="1"/>
      <c r="BE294" s="1"/>
      <c r="BF294" s="1"/>
    </row>
    <row r="295" spans="1:58">
      <c r="A295" s="109">
        <v>171</v>
      </c>
      <c r="B295" s="114" t="str">
        <f>VLOOKUP(A295,P_DIS!$B$32:$Q$263,12)</f>
        <v>-</v>
      </c>
      <c r="C295" s="114" t="str">
        <f>VLOOKUP(A295,P_DIS!$B$32:$Q$263,13)</f>
        <v>-</v>
      </c>
      <c r="D295" s="114" t="str">
        <f>VLOOKUP(A295,P_DIS!$B$32:$Q$263,15)</f>
        <v>-</v>
      </c>
      <c r="E295" s="114" t="str">
        <f>VLOOKUP(A295,P_DIS!$B$32:$Q$263,14)</f>
        <v>-</v>
      </c>
      <c r="F295" s="114">
        <f>VLOOKUP(A295,P_DIS!$B$32:$Q$263,10)</f>
        <v>0</v>
      </c>
      <c r="G295" s="114" t="str">
        <f>VLOOKUP(A295,P_DIS!$B$32:$Q$263,11)</f>
        <v>-</v>
      </c>
      <c r="H295" s="114" t="str">
        <f>VLOOKUP(A295,P_DIS!$B$32:$Q$263,16)</f>
        <v>-</v>
      </c>
      <c r="I295" s="115" t="str">
        <f t="shared" si="106"/>
        <v/>
      </c>
      <c r="J295" s="116" t="str">
        <f t="shared" si="107"/>
        <v/>
      </c>
      <c r="K295" s="117" t="str">
        <f t="shared" si="108"/>
        <v/>
      </c>
      <c r="L295" s="118" t="str">
        <f t="shared" si="109"/>
        <v/>
      </c>
      <c r="M295" s="118" t="str">
        <f t="shared" si="110"/>
        <v/>
      </c>
      <c r="N295" s="118" t="str">
        <f t="shared" si="111"/>
        <v/>
      </c>
      <c r="O295" s="118" t="str">
        <f t="shared" si="112"/>
        <v/>
      </c>
      <c r="P295" s="118" t="str">
        <f t="shared" si="113"/>
        <v/>
      </c>
      <c r="Q295" s="118" t="str">
        <f t="shared" si="114"/>
        <v/>
      </c>
      <c r="R295" s="118" t="str">
        <f t="shared" si="115"/>
        <v/>
      </c>
      <c r="S295" s="118" t="str">
        <f t="shared" si="116"/>
        <v/>
      </c>
      <c r="T295" s="119" t="str">
        <f t="shared" si="99"/>
        <v/>
      </c>
      <c r="U295" s="119" t="str">
        <f t="shared" si="100"/>
        <v/>
      </c>
      <c r="V295" s="120" t="str">
        <f t="shared" si="101"/>
        <v/>
      </c>
      <c r="W295" s="120" t="str">
        <f t="shared" si="102"/>
        <v/>
      </c>
      <c r="X295" s="120" t="str">
        <f t="shared" si="129"/>
        <v/>
      </c>
      <c r="Y295" s="121" t="str">
        <f t="shared" si="130"/>
        <v/>
      </c>
      <c r="Z295" s="121" t="str">
        <f t="shared" si="131"/>
        <v/>
      </c>
      <c r="AA295" s="122">
        <v>1</v>
      </c>
      <c r="AB295" s="123">
        <v>1</v>
      </c>
      <c r="AC295" s="123" t="str">
        <f t="shared" si="117"/>
        <v/>
      </c>
      <c r="AD295" s="123" t="str">
        <f t="shared" si="118"/>
        <v/>
      </c>
      <c r="AE295" s="123" t="str">
        <f t="shared" si="119"/>
        <v/>
      </c>
      <c r="AF295" s="123" t="str">
        <f t="shared" si="120"/>
        <v/>
      </c>
      <c r="AG295" s="123" t="str">
        <f t="shared" si="121"/>
        <v/>
      </c>
      <c r="AH295" s="115" t="str">
        <f t="shared" si="122"/>
        <v/>
      </c>
      <c r="AI295" s="115" t="str">
        <f t="shared" si="123"/>
        <v/>
      </c>
      <c r="AJ295" s="115" t="str">
        <f t="shared" si="124"/>
        <v/>
      </c>
      <c r="AK295" s="115" t="str">
        <f t="shared" si="125"/>
        <v/>
      </c>
      <c r="AL295" s="115" t="str">
        <f t="shared" si="126"/>
        <v/>
      </c>
      <c r="AM295" s="115" t="str">
        <f t="shared" si="127"/>
        <v/>
      </c>
      <c r="AN295" s="115" t="str">
        <f t="shared" si="128"/>
        <v/>
      </c>
      <c r="AO295" s="3"/>
      <c r="AP295" s="3"/>
      <c r="AQ295" s="3"/>
      <c r="AR295" s="3"/>
      <c r="AS295" s="3"/>
      <c r="AT295" s="3"/>
      <c r="AU295" s="3"/>
      <c r="AZ295" s="1"/>
      <c r="BA295" s="1"/>
      <c r="BB295" s="1"/>
      <c r="BC295" s="1"/>
      <c r="BD295" s="1"/>
      <c r="BE295" s="1"/>
      <c r="BF295" s="1"/>
    </row>
    <row r="296" spans="1:58">
      <c r="A296" s="109">
        <v>172</v>
      </c>
      <c r="B296" s="114" t="str">
        <f>VLOOKUP(A296,P_DIS!$B$32:$Q$263,12)</f>
        <v>-</v>
      </c>
      <c r="C296" s="114" t="str">
        <f>VLOOKUP(A296,P_DIS!$B$32:$Q$263,13)</f>
        <v>-</v>
      </c>
      <c r="D296" s="114" t="str">
        <f>VLOOKUP(A296,P_DIS!$B$32:$Q$263,15)</f>
        <v>-</v>
      </c>
      <c r="E296" s="114" t="str">
        <f>VLOOKUP(A296,P_DIS!$B$32:$Q$263,14)</f>
        <v>-</v>
      </c>
      <c r="F296" s="114">
        <f>VLOOKUP(A296,P_DIS!$B$32:$Q$263,10)</f>
        <v>0</v>
      </c>
      <c r="G296" s="114" t="str">
        <f>VLOOKUP(A296,P_DIS!$B$32:$Q$263,11)</f>
        <v>-</v>
      </c>
      <c r="H296" s="114" t="str">
        <f>VLOOKUP(A296,P_DIS!$B$32:$Q$263,16)</f>
        <v>-</v>
      </c>
      <c r="I296" s="115" t="str">
        <f t="shared" si="106"/>
        <v/>
      </c>
      <c r="J296" s="116" t="str">
        <f t="shared" si="107"/>
        <v/>
      </c>
      <c r="K296" s="117" t="str">
        <f t="shared" si="108"/>
        <v/>
      </c>
      <c r="L296" s="118" t="str">
        <f t="shared" si="109"/>
        <v/>
      </c>
      <c r="M296" s="118" t="str">
        <f t="shared" si="110"/>
        <v/>
      </c>
      <c r="N296" s="118" t="str">
        <f t="shared" si="111"/>
        <v/>
      </c>
      <c r="O296" s="118" t="str">
        <f t="shared" si="112"/>
        <v/>
      </c>
      <c r="P296" s="118" t="str">
        <f t="shared" si="113"/>
        <v/>
      </c>
      <c r="Q296" s="118" t="str">
        <f t="shared" si="114"/>
        <v/>
      </c>
      <c r="R296" s="118" t="str">
        <f t="shared" si="115"/>
        <v/>
      </c>
      <c r="S296" s="118" t="str">
        <f t="shared" si="116"/>
        <v/>
      </c>
      <c r="T296" s="119" t="str">
        <f t="shared" si="99"/>
        <v/>
      </c>
      <c r="U296" s="119" t="str">
        <f t="shared" si="100"/>
        <v/>
      </c>
      <c r="V296" s="120" t="str">
        <f t="shared" si="101"/>
        <v/>
      </c>
      <c r="W296" s="120" t="str">
        <f t="shared" si="102"/>
        <v/>
      </c>
      <c r="X296" s="120" t="str">
        <f t="shared" si="129"/>
        <v/>
      </c>
      <c r="Y296" s="121" t="str">
        <f t="shared" si="130"/>
        <v/>
      </c>
      <c r="Z296" s="121" t="str">
        <f t="shared" si="131"/>
        <v/>
      </c>
      <c r="AA296" s="122">
        <v>1</v>
      </c>
      <c r="AB296" s="123">
        <v>1</v>
      </c>
      <c r="AC296" s="123" t="str">
        <f t="shared" si="117"/>
        <v/>
      </c>
      <c r="AD296" s="123" t="str">
        <f t="shared" si="118"/>
        <v/>
      </c>
      <c r="AE296" s="123" t="str">
        <f t="shared" si="119"/>
        <v/>
      </c>
      <c r="AF296" s="123" t="str">
        <f t="shared" si="120"/>
        <v/>
      </c>
      <c r="AG296" s="123" t="str">
        <f t="shared" si="121"/>
        <v/>
      </c>
      <c r="AH296" s="115" t="str">
        <f t="shared" si="122"/>
        <v/>
      </c>
      <c r="AI296" s="115" t="str">
        <f t="shared" si="123"/>
        <v/>
      </c>
      <c r="AJ296" s="115" t="str">
        <f t="shared" si="124"/>
        <v/>
      </c>
      <c r="AK296" s="115" t="str">
        <f t="shared" si="125"/>
        <v/>
      </c>
      <c r="AL296" s="115" t="str">
        <f t="shared" si="126"/>
        <v/>
      </c>
      <c r="AM296" s="115" t="str">
        <f t="shared" si="127"/>
        <v/>
      </c>
      <c r="AN296" s="115" t="str">
        <f t="shared" si="128"/>
        <v/>
      </c>
      <c r="AO296" s="3"/>
      <c r="AP296" s="3"/>
      <c r="AQ296" s="3"/>
      <c r="AR296" s="3"/>
      <c r="AS296" s="3"/>
      <c r="AT296" s="3"/>
      <c r="AU296" s="3"/>
      <c r="AZ296" s="1"/>
      <c r="BA296" s="1"/>
      <c r="BB296" s="1"/>
      <c r="BC296" s="1"/>
      <c r="BD296" s="1"/>
      <c r="BE296" s="1"/>
      <c r="BF296" s="1"/>
    </row>
    <row r="297" spans="1:58">
      <c r="A297" s="109">
        <v>173</v>
      </c>
      <c r="B297" s="114" t="str">
        <f>VLOOKUP(A297,P_DIS!$B$32:$Q$263,12)</f>
        <v>-</v>
      </c>
      <c r="C297" s="114" t="str">
        <f>VLOOKUP(A297,P_DIS!$B$32:$Q$263,13)</f>
        <v>-</v>
      </c>
      <c r="D297" s="114" t="str">
        <f>VLOOKUP(A297,P_DIS!$B$32:$Q$263,15)</f>
        <v>-</v>
      </c>
      <c r="E297" s="114" t="str">
        <f>VLOOKUP(A297,P_DIS!$B$32:$Q$263,14)</f>
        <v>-</v>
      </c>
      <c r="F297" s="114">
        <f>VLOOKUP(A297,P_DIS!$B$32:$Q$263,10)</f>
        <v>0</v>
      </c>
      <c r="G297" s="114" t="str">
        <f>VLOOKUP(A297,P_DIS!$B$32:$Q$263,11)</f>
        <v>-</v>
      </c>
      <c r="H297" s="114" t="str">
        <f>VLOOKUP(A297,P_DIS!$B$32:$Q$263,16)</f>
        <v>-</v>
      </c>
      <c r="I297" s="115" t="str">
        <f t="shared" si="106"/>
        <v/>
      </c>
      <c r="J297" s="116" t="str">
        <f t="shared" si="107"/>
        <v/>
      </c>
      <c r="K297" s="117" t="str">
        <f t="shared" si="108"/>
        <v/>
      </c>
      <c r="L297" s="118" t="str">
        <f t="shared" si="109"/>
        <v/>
      </c>
      <c r="M297" s="118" t="str">
        <f t="shared" si="110"/>
        <v/>
      </c>
      <c r="N297" s="118" t="str">
        <f t="shared" si="111"/>
        <v/>
      </c>
      <c r="O297" s="118" t="str">
        <f t="shared" si="112"/>
        <v/>
      </c>
      <c r="P297" s="118" t="str">
        <f t="shared" si="113"/>
        <v/>
      </c>
      <c r="Q297" s="118" t="str">
        <f t="shared" si="114"/>
        <v/>
      </c>
      <c r="R297" s="118" t="str">
        <f t="shared" si="115"/>
        <v/>
      </c>
      <c r="S297" s="118" t="str">
        <f t="shared" si="116"/>
        <v/>
      </c>
      <c r="T297" s="119" t="str">
        <f t="shared" si="99"/>
        <v/>
      </c>
      <c r="U297" s="119" t="str">
        <f t="shared" si="100"/>
        <v/>
      </c>
      <c r="V297" s="120" t="str">
        <f t="shared" si="101"/>
        <v/>
      </c>
      <c r="W297" s="120" t="str">
        <f t="shared" si="102"/>
        <v/>
      </c>
      <c r="X297" s="120" t="str">
        <f t="shared" si="129"/>
        <v/>
      </c>
      <c r="Y297" s="121" t="str">
        <f t="shared" si="130"/>
        <v/>
      </c>
      <c r="Z297" s="121" t="str">
        <f t="shared" si="131"/>
        <v/>
      </c>
      <c r="AA297" s="122">
        <v>1</v>
      </c>
      <c r="AB297" s="123">
        <v>1</v>
      </c>
      <c r="AC297" s="123" t="str">
        <f t="shared" si="117"/>
        <v/>
      </c>
      <c r="AD297" s="123" t="str">
        <f t="shared" si="118"/>
        <v/>
      </c>
      <c r="AE297" s="123" t="str">
        <f t="shared" si="119"/>
        <v/>
      </c>
      <c r="AF297" s="123" t="str">
        <f t="shared" si="120"/>
        <v/>
      </c>
      <c r="AG297" s="123" t="str">
        <f t="shared" si="121"/>
        <v/>
      </c>
      <c r="AH297" s="115" t="str">
        <f t="shared" si="122"/>
        <v/>
      </c>
      <c r="AI297" s="115" t="str">
        <f t="shared" si="123"/>
        <v/>
      </c>
      <c r="AJ297" s="115" t="str">
        <f t="shared" si="124"/>
        <v/>
      </c>
      <c r="AK297" s="115" t="str">
        <f t="shared" si="125"/>
        <v/>
      </c>
      <c r="AL297" s="115" t="str">
        <f t="shared" si="126"/>
        <v/>
      </c>
      <c r="AM297" s="115" t="str">
        <f t="shared" si="127"/>
        <v/>
      </c>
      <c r="AN297" s="115" t="str">
        <f t="shared" si="128"/>
        <v/>
      </c>
      <c r="AO297" s="3"/>
      <c r="AP297" s="3"/>
      <c r="AQ297" s="3"/>
      <c r="AR297" s="3"/>
      <c r="AS297" s="3"/>
      <c r="AT297" s="3"/>
      <c r="AU297" s="3"/>
      <c r="AZ297" s="1"/>
      <c r="BA297" s="1"/>
      <c r="BB297" s="1"/>
      <c r="BC297" s="1"/>
      <c r="BD297" s="1"/>
      <c r="BE297" s="1"/>
      <c r="BF297" s="1"/>
    </row>
    <row r="298" spans="1:58">
      <c r="A298" s="109">
        <v>174</v>
      </c>
      <c r="B298" s="114" t="str">
        <f>VLOOKUP(A298,P_DIS!$B$32:$Q$263,12)</f>
        <v>-</v>
      </c>
      <c r="C298" s="114" t="str">
        <f>VLOOKUP(A298,P_DIS!$B$32:$Q$263,13)</f>
        <v>-</v>
      </c>
      <c r="D298" s="114" t="str">
        <f>VLOOKUP(A298,P_DIS!$B$32:$Q$263,15)</f>
        <v>-</v>
      </c>
      <c r="E298" s="114" t="str">
        <f>VLOOKUP(A298,P_DIS!$B$32:$Q$263,14)</f>
        <v>-</v>
      </c>
      <c r="F298" s="114">
        <f>VLOOKUP(A298,P_DIS!$B$32:$Q$263,10)</f>
        <v>0</v>
      </c>
      <c r="G298" s="114" t="str">
        <f>VLOOKUP(A298,P_DIS!$B$32:$Q$263,11)</f>
        <v>-</v>
      </c>
      <c r="H298" s="114" t="str">
        <f>VLOOKUP(A298,P_DIS!$B$32:$Q$263,16)</f>
        <v>-</v>
      </c>
      <c r="I298" s="115" t="str">
        <f t="shared" si="106"/>
        <v/>
      </c>
      <c r="J298" s="116" t="str">
        <f t="shared" si="107"/>
        <v/>
      </c>
      <c r="K298" s="117" t="str">
        <f t="shared" si="108"/>
        <v/>
      </c>
      <c r="L298" s="118" t="str">
        <f t="shared" si="109"/>
        <v/>
      </c>
      <c r="M298" s="118" t="str">
        <f t="shared" si="110"/>
        <v/>
      </c>
      <c r="N298" s="118" t="str">
        <f t="shared" si="111"/>
        <v/>
      </c>
      <c r="O298" s="118" t="str">
        <f t="shared" si="112"/>
        <v/>
      </c>
      <c r="P298" s="118" t="str">
        <f t="shared" si="113"/>
        <v/>
      </c>
      <c r="Q298" s="118" t="str">
        <f t="shared" si="114"/>
        <v/>
      </c>
      <c r="R298" s="118" t="str">
        <f t="shared" si="115"/>
        <v/>
      </c>
      <c r="S298" s="118" t="str">
        <f t="shared" si="116"/>
        <v/>
      </c>
      <c r="T298" s="119" t="str">
        <f t="shared" si="99"/>
        <v/>
      </c>
      <c r="U298" s="119" t="str">
        <f t="shared" si="100"/>
        <v/>
      </c>
      <c r="V298" s="120" t="str">
        <f t="shared" si="101"/>
        <v/>
      </c>
      <c r="W298" s="120" t="str">
        <f t="shared" si="102"/>
        <v/>
      </c>
      <c r="X298" s="120" t="str">
        <f t="shared" si="129"/>
        <v/>
      </c>
      <c r="Y298" s="121" t="str">
        <f t="shared" si="130"/>
        <v/>
      </c>
      <c r="Z298" s="121" t="str">
        <f t="shared" si="131"/>
        <v/>
      </c>
      <c r="AA298" s="122">
        <v>1</v>
      </c>
      <c r="AB298" s="123">
        <v>1</v>
      </c>
      <c r="AC298" s="123" t="str">
        <f t="shared" si="117"/>
        <v/>
      </c>
      <c r="AD298" s="123" t="str">
        <f t="shared" si="118"/>
        <v/>
      </c>
      <c r="AE298" s="123" t="str">
        <f t="shared" si="119"/>
        <v/>
      </c>
      <c r="AF298" s="123" t="str">
        <f t="shared" si="120"/>
        <v/>
      </c>
      <c r="AG298" s="123" t="str">
        <f t="shared" si="121"/>
        <v/>
      </c>
      <c r="AH298" s="115" t="str">
        <f t="shared" si="122"/>
        <v/>
      </c>
      <c r="AI298" s="115" t="str">
        <f t="shared" si="123"/>
        <v/>
      </c>
      <c r="AJ298" s="115" t="str">
        <f t="shared" si="124"/>
        <v/>
      </c>
      <c r="AK298" s="115" t="str">
        <f t="shared" si="125"/>
        <v/>
      </c>
      <c r="AL298" s="115" t="str">
        <f t="shared" si="126"/>
        <v/>
      </c>
      <c r="AM298" s="115" t="str">
        <f t="shared" si="127"/>
        <v/>
      </c>
      <c r="AN298" s="115" t="str">
        <f t="shared" si="128"/>
        <v/>
      </c>
      <c r="AO298" s="3"/>
      <c r="AP298" s="3"/>
      <c r="AQ298" s="3"/>
      <c r="AR298" s="3"/>
      <c r="AS298" s="3"/>
      <c r="AT298" s="3"/>
      <c r="AU298" s="3"/>
      <c r="AZ298" s="1"/>
      <c r="BA298" s="1"/>
      <c r="BB298" s="1"/>
      <c r="BC298" s="1"/>
      <c r="BD298" s="1"/>
      <c r="BE298" s="1"/>
      <c r="BF298" s="1"/>
    </row>
    <row r="299" spans="1:58">
      <c r="A299" s="109">
        <v>175</v>
      </c>
      <c r="B299" s="114" t="str">
        <f>VLOOKUP(A299,P_DIS!$B$32:$Q$263,12)</f>
        <v>-</v>
      </c>
      <c r="C299" s="114" t="str">
        <f>VLOOKUP(A299,P_DIS!$B$32:$Q$263,13)</f>
        <v>-</v>
      </c>
      <c r="D299" s="114" t="str">
        <f>VLOOKUP(A299,P_DIS!$B$32:$Q$263,15)</f>
        <v>-</v>
      </c>
      <c r="E299" s="114" t="str">
        <f>VLOOKUP(A299,P_DIS!$B$32:$Q$263,14)</f>
        <v>-</v>
      </c>
      <c r="F299" s="114">
        <f>VLOOKUP(A299,P_DIS!$B$32:$Q$263,10)</f>
        <v>0</v>
      </c>
      <c r="G299" s="114" t="str">
        <f>VLOOKUP(A299,P_DIS!$B$32:$Q$263,11)</f>
        <v>-</v>
      </c>
      <c r="H299" s="114" t="str">
        <f>VLOOKUP(A299,P_DIS!$B$32:$Q$263,16)</f>
        <v>-</v>
      </c>
      <c r="I299" s="115" t="str">
        <f t="shared" si="106"/>
        <v/>
      </c>
      <c r="J299" s="116" t="str">
        <f t="shared" si="107"/>
        <v/>
      </c>
      <c r="K299" s="117" t="str">
        <f t="shared" si="108"/>
        <v/>
      </c>
      <c r="L299" s="118" t="str">
        <f t="shared" si="109"/>
        <v/>
      </c>
      <c r="M299" s="118" t="str">
        <f t="shared" si="110"/>
        <v/>
      </c>
      <c r="N299" s="118" t="str">
        <f t="shared" si="111"/>
        <v/>
      </c>
      <c r="O299" s="118" t="str">
        <f t="shared" si="112"/>
        <v/>
      </c>
      <c r="P299" s="118" t="str">
        <f t="shared" si="113"/>
        <v/>
      </c>
      <c r="Q299" s="118" t="str">
        <f t="shared" si="114"/>
        <v/>
      </c>
      <c r="R299" s="118" t="str">
        <f t="shared" si="115"/>
        <v/>
      </c>
      <c r="S299" s="118" t="str">
        <f t="shared" si="116"/>
        <v/>
      </c>
      <c r="T299" s="119" t="str">
        <f t="shared" si="99"/>
        <v/>
      </c>
      <c r="U299" s="119" t="str">
        <f t="shared" si="100"/>
        <v/>
      </c>
      <c r="V299" s="120" t="str">
        <f t="shared" si="101"/>
        <v/>
      </c>
      <c r="W299" s="120" t="str">
        <f t="shared" si="102"/>
        <v/>
      </c>
      <c r="X299" s="120" t="str">
        <f t="shared" si="129"/>
        <v/>
      </c>
      <c r="Y299" s="121" t="str">
        <f t="shared" si="130"/>
        <v/>
      </c>
      <c r="Z299" s="121" t="str">
        <f t="shared" si="131"/>
        <v/>
      </c>
      <c r="AA299" s="122">
        <v>1</v>
      </c>
      <c r="AB299" s="123">
        <v>1</v>
      </c>
      <c r="AC299" s="123" t="str">
        <f t="shared" si="117"/>
        <v/>
      </c>
      <c r="AD299" s="123" t="str">
        <f t="shared" si="118"/>
        <v/>
      </c>
      <c r="AE299" s="123" t="str">
        <f t="shared" si="119"/>
        <v/>
      </c>
      <c r="AF299" s="123" t="str">
        <f t="shared" si="120"/>
        <v/>
      </c>
      <c r="AG299" s="123" t="str">
        <f t="shared" si="121"/>
        <v/>
      </c>
      <c r="AH299" s="115" t="str">
        <f t="shared" si="122"/>
        <v/>
      </c>
      <c r="AI299" s="115" t="str">
        <f t="shared" si="123"/>
        <v/>
      </c>
      <c r="AJ299" s="115" t="str">
        <f t="shared" si="124"/>
        <v/>
      </c>
      <c r="AK299" s="115" t="str">
        <f t="shared" si="125"/>
        <v/>
      </c>
      <c r="AL299" s="115" t="str">
        <f t="shared" si="126"/>
        <v/>
      </c>
      <c r="AM299" s="115" t="str">
        <f t="shared" si="127"/>
        <v/>
      </c>
      <c r="AN299" s="115" t="str">
        <f t="shared" si="128"/>
        <v/>
      </c>
      <c r="AO299" s="3"/>
      <c r="AP299" s="3"/>
      <c r="AQ299" s="3"/>
      <c r="AR299" s="3"/>
      <c r="AS299" s="3"/>
      <c r="AT299" s="3"/>
      <c r="AU299" s="3"/>
      <c r="AZ299" s="1"/>
      <c r="BA299" s="1"/>
      <c r="BB299" s="1"/>
      <c r="BC299" s="1"/>
      <c r="BD299" s="1"/>
      <c r="BE299" s="1"/>
      <c r="BF299" s="1"/>
    </row>
    <row r="300" spans="1:58">
      <c r="A300" s="109">
        <v>176</v>
      </c>
      <c r="B300" s="114" t="str">
        <f>VLOOKUP(A300,P_DIS!$B$32:$Q$263,12)</f>
        <v>-</v>
      </c>
      <c r="C300" s="114" t="str">
        <f>VLOOKUP(A300,P_DIS!$B$32:$Q$263,13)</f>
        <v>-</v>
      </c>
      <c r="D300" s="114" t="str">
        <f>VLOOKUP(A300,P_DIS!$B$32:$Q$263,15)</f>
        <v>-</v>
      </c>
      <c r="E300" s="114" t="str">
        <f>VLOOKUP(A300,P_DIS!$B$32:$Q$263,14)</f>
        <v>-</v>
      </c>
      <c r="F300" s="114">
        <f>VLOOKUP(A300,P_DIS!$B$32:$Q$263,10)</f>
        <v>0</v>
      </c>
      <c r="G300" s="114" t="str">
        <f>VLOOKUP(A300,P_DIS!$B$32:$Q$263,11)</f>
        <v>-</v>
      </c>
      <c r="H300" s="114" t="str">
        <f>VLOOKUP(A300,P_DIS!$B$32:$Q$263,16)</f>
        <v>-</v>
      </c>
      <c r="I300" s="115" t="str">
        <f t="shared" si="106"/>
        <v/>
      </c>
      <c r="J300" s="116" t="str">
        <f t="shared" si="107"/>
        <v/>
      </c>
      <c r="K300" s="117" t="str">
        <f t="shared" si="108"/>
        <v/>
      </c>
      <c r="L300" s="118" t="str">
        <f t="shared" si="109"/>
        <v/>
      </c>
      <c r="M300" s="118" t="str">
        <f t="shared" si="110"/>
        <v/>
      </c>
      <c r="N300" s="118" t="str">
        <f t="shared" si="111"/>
        <v/>
      </c>
      <c r="O300" s="118" t="str">
        <f t="shared" si="112"/>
        <v/>
      </c>
      <c r="P300" s="118" t="str">
        <f t="shared" si="113"/>
        <v/>
      </c>
      <c r="Q300" s="118" t="str">
        <f t="shared" si="114"/>
        <v/>
      </c>
      <c r="R300" s="118" t="str">
        <f t="shared" si="115"/>
        <v/>
      </c>
      <c r="S300" s="118" t="str">
        <f t="shared" si="116"/>
        <v/>
      </c>
      <c r="T300" s="119" t="str">
        <f t="shared" si="99"/>
        <v/>
      </c>
      <c r="U300" s="119" t="str">
        <f t="shared" si="100"/>
        <v/>
      </c>
      <c r="V300" s="120" t="str">
        <f t="shared" si="101"/>
        <v/>
      </c>
      <c r="W300" s="120" t="str">
        <f t="shared" si="102"/>
        <v/>
      </c>
      <c r="X300" s="120" t="str">
        <f t="shared" si="129"/>
        <v/>
      </c>
      <c r="Y300" s="121" t="str">
        <f t="shared" si="130"/>
        <v/>
      </c>
      <c r="Z300" s="121" t="str">
        <f t="shared" si="131"/>
        <v/>
      </c>
      <c r="AA300" s="122">
        <v>1</v>
      </c>
      <c r="AB300" s="123">
        <v>1</v>
      </c>
      <c r="AC300" s="123" t="str">
        <f t="shared" si="117"/>
        <v/>
      </c>
      <c r="AD300" s="123" t="str">
        <f t="shared" si="118"/>
        <v/>
      </c>
      <c r="AE300" s="123" t="str">
        <f t="shared" si="119"/>
        <v/>
      </c>
      <c r="AF300" s="123" t="str">
        <f t="shared" si="120"/>
        <v/>
      </c>
      <c r="AG300" s="123" t="str">
        <f t="shared" si="121"/>
        <v/>
      </c>
      <c r="AH300" s="115" t="str">
        <f t="shared" si="122"/>
        <v/>
      </c>
      <c r="AI300" s="115" t="str">
        <f t="shared" si="123"/>
        <v/>
      </c>
      <c r="AJ300" s="115" t="str">
        <f t="shared" si="124"/>
        <v/>
      </c>
      <c r="AK300" s="115" t="str">
        <f t="shared" si="125"/>
        <v/>
      </c>
      <c r="AL300" s="115" t="str">
        <f t="shared" si="126"/>
        <v/>
      </c>
      <c r="AM300" s="115" t="str">
        <f t="shared" si="127"/>
        <v/>
      </c>
      <c r="AN300" s="115" t="str">
        <f t="shared" si="128"/>
        <v/>
      </c>
      <c r="AO300" s="3"/>
      <c r="AP300" s="3"/>
      <c r="AQ300" s="3"/>
      <c r="AR300" s="3"/>
      <c r="AS300" s="3"/>
      <c r="AT300" s="3"/>
      <c r="AU300" s="3"/>
      <c r="AZ300" s="1"/>
      <c r="BA300" s="1"/>
      <c r="BB300" s="1"/>
      <c r="BC300" s="1"/>
      <c r="BD300" s="1"/>
      <c r="BE300" s="1"/>
      <c r="BF300" s="1"/>
    </row>
    <row r="301" spans="1:58">
      <c r="A301" s="109">
        <v>177</v>
      </c>
      <c r="B301" s="114" t="str">
        <f>VLOOKUP(A301,P_DIS!$B$32:$Q$263,12)</f>
        <v>-</v>
      </c>
      <c r="C301" s="114" t="str">
        <f>VLOOKUP(A301,P_DIS!$B$32:$Q$263,13)</f>
        <v>-</v>
      </c>
      <c r="D301" s="114" t="str">
        <f>VLOOKUP(A301,P_DIS!$B$32:$Q$263,15)</f>
        <v>-</v>
      </c>
      <c r="E301" s="114" t="str">
        <f>VLOOKUP(A301,P_DIS!$B$32:$Q$263,14)</f>
        <v>-</v>
      </c>
      <c r="F301" s="114">
        <f>VLOOKUP(A301,P_DIS!$B$32:$Q$263,10)</f>
        <v>0</v>
      </c>
      <c r="G301" s="114" t="str">
        <f>VLOOKUP(A301,P_DIS!$B$32:$Q$263,11)</f>
        <v>-</v>
      </c>
      <c r="H301" s="114" t="str">
        <f>VLOOKUP(A301,P_DIS!$B$32:$Q$263,16)</f>
        <v>-</v>
      </c>
      <c r="I301" s="115" t="str">
        <f t="shared" si="106"/>
        <v/>
      </c>
      <c r="J301" s="116" t="str">
        <f t="shared" si="107"/>
        <v/>
      </c>
      <c r="K301" s="117" t="str">
        <f t="shared" si="108"/>
        <v/>
      </c>
      <c r="L301" s="118" t="str">
        <f t="shared" si="109"/>
        <v/>
      </c>
      <c r="M301" s="118" t="str">
        <f t="shared" si="110"/>
        <v/>
      </c>
      <c r="N301" s="118" t="str">
        <f t="shared" si="111"/>
        <v/>
      </c>
      <c r="O301" s="118" t="str">
        <f t="shared" si="112"/>
        <v/>
      </c>
      <c r="P301" s="118" t="str">
        <f t="shared" si="113"/>
        <v/>
      </c>
      <c r="Q301" s="118" t="str">
        <f t="shared" si="114"/>
        <v/>
      </c>
      <c r="R301" s="118" t="str">
        <f t="shared" si="115"/>
        <v/>
      </c>
      <c r="S301" s="118" t="str">
        <f t="shared" si="116"/>
        <v/>
      </c>
      <c r="T301" s="119" t="str">
        <f t="shared" si="99"/>
        <v/>
      </c>
      <c r="U301" s="119" t="str">
        <f t="shared" si="100"/>
        <v/>
      </c>
      <c r="V301" s="120" t="str">
        <f t="shared" si="101"/>
        <v/>
      </c>
      <c r="W301" s="120" t="str">
        <f t="shared" si="102"/>
        <v/>
      </c>
      <c r="X301" s="120" t="str">
        <f t="shared" si="129"/>
        <v/>
      </c>
      <c r="Y301" s="121" t="str">
        <f t="shared" si="130"/>
        <v/>
      </c>
      <c r="Z301" s="121" t="str">
        <f t="shared" si="131"/>
        <v/>
      </c>
      <c r="AA301" s="122">
        <v>1</v>
      </c>
      <c r="AB301" s="123">
        <v>1</v>
      </c>
      <c r="AC301" s="123" t="str">
        <f t="shared" si="117"/>
        <v/>
      </c>
      <c r="AD301" s="123" t="str">
        <f t="shared" si="118"/>
        <v/>
      </c>
      <c r="AE301" s="123" t="str">
        <f t="shared" si="119"/>
        <v/>
      </c>
      <c r="AF301" s="123" t="str">
        <f t="shared" si="120"/>
        <v/>
      </c>
      <c r="AG301" s="123" t="str">
        <f t="shared" si="121"/>
        <v/>
      </c>
      <c r="AH301" s="115" t="str">
        <f t="shared" si="122"/>
        <v/>
      </c>
      <c r="AI301" s="115" t="str">
        <f t="shared" si="123"/>
        <v/>
      </c>
      <c r="AJ301" s="115" t="str">
        <f t="shared" si="124"/>
        <v/>
      </c>
      <c r="AK301" s="115" t="str">
        <f t="shared" si="125"/>
        <v/>
      </c>
      <c r="AL301" s="115" t="str">
        <f t="shared" si="126"/>
        <v/>
      </c>
      <c r="AM301" s="115" t="str">
        <f t="shared" si="127"/>
        <v/>
      </c>
      <c r="AN301" s="115" t="str">
        <f t="shared" si="128"/>
        <v/>
      </c>
      <c r="AO301" s="3"/>
      <c r="AP301" s="3"/>
      <c r="AQ301" s="3"/>
      <c r="AR301" s="3"/>
      <c r="AS301" s="3"/>
      <c r="AT301" s="3"/>
      <c r="AU301" s="3"/>
      <c r="AZ301" s="1"/>
      <c r="BA301" s="1"/>
      <c r="BB301" s="1"/>
      <c r="BC301" s="1"/>
      <c r="BD301" s="1"/>
      <c r="BE301" s="1"/>
      <c r="BF301" s="1"/>
    </row>
    <row r="302" spans="1:58">
      <c r="A302" s="109">
        <v>178</v>
      </c>
      <c r="B302" s="114" t="str">
        <f>VLOOKUP(A302,P_DIS!$B$32:$Q$263,12)</f>
        <v>-</v>
      </c>
      <c r="C302" s="114" t="str">
        <f>VLOOKUP(A302,P_DIS!$B$32:$Q$263,13)</f>
        <v>-</v>
      </c>
      <c r="D302" s="114" t="str">
        <f>VLOOKUP(A302,P_DIS!$B$32:$Q$263,15)</f>
        <v>-</v>
      </c>
      <c r="E302" s="114" t="str">
        <f>VLOOKUP(A302,P_DIS!$B$32:$Q$263,14)</f>
        <v>-</v>
      </c>
      <c r="F302" s="114">
        <f>VLOOKUP(A302,P_DIS!$B$32:$Q$263,10)</f>
        <v>0</v>
      </c>
      <c r="G302" s="114" t="str">
        <f>VLOOKUP(A302,P_DIS!$B$32:$Q$263,11)</f>
        <v>-</v>
      </c>
      <c r="H302" s="114" t="str">
        <f>VLOOKUP(A302,P_DIS!$B$32:$Q$263,16)</f>
        <v>-</v>
      </c>
      <c r="I302" s="115" t="str">
        <f t="shared" si="106"/>
        <v/>
      </c>
      <c r="J302" s="116" t="str">
        <f t="shared" si="107"/>
        <v/>
      </c>
      <c r="K302" s="117" t="str">
        <f t="shared" si="108"/>
        <v/>
      </c>
      <c r="L302" s="118" t="str">
        <f t="shared" si="109"/>
        <v/>
      </c>
      <c r="M302" s="118" t="str">
        <f t="shared" si="110"/>
        <v/>
      </c>
      <c r="N302" s="118" t="str">
        <f t="shared" si="111"/>
        <v/>
      </c>
      <c r="O302" s="118" t="str">
        <f t="shared" si="112"/>
        <v/>
      </c>
      <c r="P302" s="118" t="str">
        <f t="shared" si="113"/>
        <v/>
      </c>
      <c r="Q302" s="118" t="str">
        <f t="shared" si="114"/>
        <v/>
      </c>
      <c r="R302" s="118" t="str">
        <f t="shared" si="115"/>
        <v/>
      </c>
      <c r="S302" s="118" t="str">
        <f t="shared" si="116"/>
        <v/>
      </c>
      <c r="T302" s="119" t="str">
        <f t="shared" si="99"/>
        <v/>
      </c>
      <c r="U302" s="119" t="str">
        <f t="shared" si="100"/>
        <v/>
      </c>
      <c r="V302" s="120" t="str">
        <f t="shared" si="101"/>
        <v/>
      </c>
      <c r="W302" s="120" t="str">
        <f t="shared" si="102"/>
        <v/>
      </c>
      <c r="X302" s="120" t="str">
        <f t="shared" si="129"/>
        <v/>
      </c>
      <c r="Y302" s="121" t="str">
        <f t="shared" si="130"/>
        <v/>
      </c>
      <c r="Z302" s="121" t="str">
        <f t="shared" si="131"/>
        <v/>
      </c>
      <c r="AA302" s="122">
        <v>1</v>
      </c>
      <c r="AB302" s="123">
        <v>1</v>
      </c>
      <c r="AC302" s="123" t="str">
        <f t="shared" si="117"/>
        <v/>
      </c>
      <c r="AD302" s="123" t="str">
        <f t="shared" si="118"/>
        <v/>
      </c>
      <c r="AE302" s="123" t="str">
        <f t="shared" si="119"/>
        <v/>
      </c>
      <c r="AF302" s="123" t="str">
        <f t="shared" si="120"/>
        <v/>
      </c>
      <c r="AG302" s="123" t="str">
        <f t="shared" si="121"/>
        <v/>
      </c>
      <c r="AH302" s="115" t="str">
        <f t="shared" si="122"/>
        <v/>
      </c>
      <c r="AI302" s="115" t="str">
        <f t="shared" si="123"/>
        <v/>
      </c>
      <c r="AJ302" s="115" t="str">
        <f t="shared" si="124"/>
        <v/>
      </c>
      <c r="AK302" s="115" t="str">
        <f t="shared" si="125"/>
        <v/>
      </c>
      <c r="AL302" s="115" t="str">
        <f t="shared" si="126"/>
        <v/>
      </c>
      <c r="AM302" s="115" t="str">
        <f t="shared" si="127"/>
        <v/>
      </c>
      <c r="AN302" s="115" t="str">
        <f t="shared" si="128"/>
        <v/>
      </c>
      <c r="AO302" s="3"/>
      <c r="AP302" s="3"/>
      <c r="AQ302" s="3"/>
      <c r="AR302" s="3"/>
      <c r="AS302" s="3"/>
      <c r="AT302" s="3"/>
      <c r="AU302" s="3"/>
      <c r="AZ302" s="1"/>
      <c r="BA302" s="1"/>
      <c r="BB302" s="1"/>
      <c r="BC302" s="1"/>
      <c r="BD302" s="1"/>
      <c r="BE302" s="1"/>
      <c r="BF302" s="1"/>
    </row>
    <row r="303" spans="1:58">
      <c r="A303" s="109">
        <v>179</v>
      </c>
      <c r="B303" s="114" t="str">
        <f>VLOOKUP(A303,P_DIS!$B$32:$Q$263,12)</f>
        <v>-</v>
      </c>
      <c r="C303" s="114" t="str">
        <f>VLOOKUP(A303,P_DIS!$B$32:$Q$263,13)</f>
        <v>-</v>
      </c>
      <c r="D303" s="114" t="str">
        <f>VLOOKUP(A303,P_DIS!$B$32:$Q$263,15)</f>
        <v>-</v>
      </c>
      <c r="E303" s="114" t="str">
        <f>VLOOKUP(A303,P_DIS!$B$32:$Q$263,14)</f>
        <v>-</v>
      </c>
      <c r="F303" s="114">
        <f>VLOOKUP(A303,P_DIS!$B$32:$Q$263,10)</f>
        <v>0</v>
      </c>
      <c r="G303" s="114" t="str">
        <f>VLOOKUP(A303,P_DIS!$B$32:$Q$263,11)</f>
        <v>-</v>
      </c>
      <c r="H303" s="114" t="str">
        <f>VLOOKUP(A303,P_DIS!$B$32:$Q$263,16)</f>
        <v>-</v>
      </c>
      <c r="I303" s="115" t="str">
        <f t="shared" si="106"/>
        <v/>
      </c>
      <c r="J303" s="116" t="str">
        <f t="shared" si="107"/>
        <v/>
      </c>
      <c r="K303" s="117" t="str">
        <f t="shared" si="108"/>
        <v/>
      </c>
      <c r="L303" s="118" t="str">
        <f t="shared" si="109"/>
        <v/>
      </c>
      <c r="M303" s="118" t="str">
        <f t="shared" si="110"/>
        <v/>
      </c>
      <c r="N303" s="118" t="str">
        <f t="shared" si="111"/>
        <v/>
      </c>
      <c r="O303" s="118" t="str">
        <f t="shared" si="112"/>
        <v/>
      </c>
      <c r="P303" s="118" t="str">
        <f t="shared" si="113"/>
        <v/>
      </c>
      <c r="Q303" s="118" t="str">
        <f t="shared" si="114"/>
        <v/>
      </c>
      <c r="R303" s="118" t="str">
        <f t="shared" si="115"/>
        <v/>
      </c>
      <c r="S303" s="118" t="str">
        <f t="shared" si="116"/>
        <v/>
      </c>
      <c r="T303" s="119" t="str">
        <f t="shared" si="99"/>
        <v/>
      </c>
      <c r="U303" s="119" t="str">
        <f t="shared" si="100"/>
        <v/>
      </c>
      <c r="V303" s="120" t="str">
        <f t="shared" si="101"/>
        <v/>
      </c>
      <c r="W303" s="120" t="str">
        <f t="shared" si="102"/>
        <v/>
      </c>
      <c r="X303" s="120" t="str">
        <f t="shared" si="129"/>
        <v/>
      </c>
      <c r="Y303" s="121" t="str">
        <f t="shared" si="130"/>
        <v/>
      </c>
      <c r="Z303" s="121" t="str">
        <f t="shared" si="131"/>
        <v/>
      </c>
      <c r="AA303" s="122">
        <v>1</v>
      </c>
      <c r="AB303" s="123">
        <v>1</v>
      </c>
      <c r="AC303" s="123" t="str">
        <f t="shared" si="117"/>
        <v/>
      </c>
      <c r="AD303" s="123" t="str">
        <f t="shared" si="118"/>
        <v/>
      </c>
      <c r="AE303" s="123" t="str">
        <f t="shared" si="119"/>
        <v/>
      </c>
      <c r="AF303" s="123" t="str">
        <f t="shared" si="120"/>
        <v/>
      </c>
      <c r="AG303" s="123" t="str">
        <f t="shared" si="121"/>
        <v/>
      </c>
      <c r="AH303" s="115" t="str">
        <f t="shared" si="122"/>
        <v/>
      </c>
      <c r="AI303" s="115" t="str">
        <f t="shared" si="123"/>
        <v/>
      </c>
      <c r="AJ303" s="115" t="str">
        <f t="shared" si="124"/>
        <v/>
      </c>
      <c r="AK303" s="115" t="str">
        <f t="shared" si="125"/>
        <v/>
      </c>
      <c r="AL303" s="115" t="str">
        <f t="shared" si="126"/>
        <v/>
      </c>
      <c r="AM303" s="115" t="str">
        <f t="shared" si="127"/>
        <v/>
      </c>
      <c r="AN303" s="115" t="str">
        <f t="shared" si="128"/>
        <v/>
      </c>
      <c r="AO303" s="3"/>
      <c r="AP303" s="3"/>
      <c r="AQ303" s="3"/>
      <c r="AR303" s="3"/>
      <c r="AS303" s="3"/>
      <c r="AT303" s="3"/>
      <c r="AU303" s="3"/>
      <c r="AZ303" s="1"/>
      <c r="BA303" s="1"/>
      <c r="BB303" s="1"/>
      <c r="BC303" s="1"/>
      <c r="BD303" s="1"/>
      <c r="BE303" s="1"/>
      <c r="BF303" s="1"/>
    </row>
    <row r="304" spans="1:58">
      <c r="A304" s="109">
        <v>180</v>
      </c>
      <c r="B304" s="114" t="str">
        <f>VLOOKUP(A304,P_DIS!$B$32:$Q$263,12)</f>
        <v>-</v>
      </c>
      <c r="C304" s="114" t="str">
        <f>VLOOKUP(A304,P_DIS!$B$32:$Q$263,13)</f>
        <v>-</v>
      </c>
      <c r="D304" s="114" t="str">
        <f>VLOOKUP(A304,P_DIS!$B$32:$Q$263,15)</f>
        <v>-</v>
      </c>
      <c r="E304" s="114" t="str">
        <f>VLOOKUP(A304,P_DIS!$B$32:$Q$263,14)</f>
        <v>-</v>
      </c>
      <c r="F304" s="114">
        <f>VLOOKUP(A304,P_DIS!$B$32:$Q$263,10)</f>
        <v>0</v>
      </c>
      <c r="G304" s="114" t="str">
        <f>VLOOKUP(A304,P_DIS!$B$32:$Q$263,11)</f>
        <v>-</v>
      </c>
      <c r="H304" s="114" t="str">
        <f>VLOOKUP(A304,P_DIS!$B$32:$Q$263,16)</f>
        <v>-</v>
      </c>
      <c r="I304" s="115" t="str">
        <f t="shared" si="106"/>
        <v/>
      </c>
      <c r="J304" s="116" t="str">
        <f t="shared" si="107"/>
        <v/>
      </c>
      <c r="K304" s="117" t="str">
        <f t="shared" si="108"/>
        <v/>
      </c>
      <c r="L304" s="118" t="str">
        <f t="shared" si="109"/>
        <v/>
      </c>
      <c r="M304" s="118" t="str">
        <f t="shared" si="110"/>
        <v/>
      </c>
      <c r="N304" s="118" t="str">
        <f t="shared" si="111"/>
        <v/>
      </c>
      <c r="O304" s="118" t="str">
        <f t="shared" si="112"/>
        <v/>
      </c>
      <c r="P304" s="118" t="str">
        <f t="shared" si="113"/>
        <v/>
      </c>
      <c r="Q304" s="118" t="str">
        <f t="shared" si="114"/>
        <v/>
      </c>
      <c r="R304" s="118" t="str">
        <f t="shared" si="115"/>
        <v/>
      </c>
      <c r="S304" s="118" t="str">
        <f t="shared" si="116"/>
        <v/>
      </c>
      <c r="T304" s="119" t="str">
        <f t="shared" si="99"/>
        <v/>
      </c>
      <c r="U304" s="119" t="str">
        <f t="shared" si="100"/>
        <v/>
      </c>
      <c r="V304" s="120" t="str">
        <f t="shared" si="101"/>
        <v/>
      </c>
      <c r="W304" s="120" t="str">
        <f t="shared" si="102"/>
        <v/>
      </c>
      <c r="X304" s="120" t="str">
        <f t="shared" si="129"/>
        <v/>
      </c>
      <c r="Y304" s="121" t="str">
        <f t="shared" si="130"/>
        <v/>
      </c>
      <c r="Z304" s="121" t="str">
        <f t="shared" si="131"/>
        <v/>
      </c>
      <c r="AA304" s="122">
        <v>1</v>
      </c>
      <c r="AB304" s="123">
        <v>1</v>
      </c>
      <c r="AC304" s="123" t="str">
        <f t="shared" si="117"/>
        <v/>
      </c>
      <c r="AD304" s="123" t="str">
        <f t="shared" si="118"/>
        <v/>
      </c>
      <c r="AE304" s="123" t="str">
        <f t="shared" si="119"/>
        <v/>
      </c>
      <c r="AF304" s="123" t="str">
        <f t="shared" si="120"/>
        <v/>
      </c>
      <c r="AG304" s="123" t="str">
        <f t="shared" si="121"/>
        <v/>
      </c>
      <c r="AH304" s="115" t="str">
        <f t="shared" si="122"/>
        <v/>
      </c>
      <c r="AI304" s="115" t="str">
        <f t="shared" si="123"/>
        <v/>
      </c>
      <c r="AJ304" s="115" t="str">
        <f t="shared" si="124"/>
        <v/>
      </c>
      <c r="AK304" s="115" t="str">
        <f t="shared" si="125"/>
        <v/>
      </c>
      <c r="AL304" s="115" t="str">
        <f t="shared" si="126"/>
        <v/>
      </c>
      <c r="AM304" s="115" t="str">
        <f t="shared" si="127"/>
        <v/>
      </c>
      <c r="AN304" s="115" t="str">
        <f t="shared" si="128"/>
        <v/>
      </c>
      <c r="AO304" s="3"/>
      <c r="AP304" s="3"/>
      <c r="AQ304" s="3"/>
      <c r="AR304" s="3"/>
      <c r="AS304" s="3"/>
      <c r="AT304" s="3"/>
      <c r="AU304" s="3"/>
      <c r="AZ304" s="1"/>
      <c r="BA304" s="1"/>
      <c r="BB304" s="1"/>
      <c r="BC304" s="1"/>
      <c r="BD304" s="1"/>
      <c r="BE304" s="1"/>
      <c r="BF304" s="1"/>
    </row>
    <row r="305" spans="1:58">
      <c r="A305" s="109">
        <v>181</v>
      </c>
      <c r="B305" s="114" t="str">
        <f>VLOOKUP(A305,P_DIS!$B$32:$Q$263,12)</f>
        <v>-</v>
      </c>
      <c r="C305" s="114" t="str">
        <f>VLOOKUP(A305,P_DIS!$B$32:$Q$263,13)</f>
        <v>-</v>
      </c>
      <c r="D305" s="114" t="str">
        <f>VLOOKUP(A305,P_DIS!$B$32:$Q$263,15)</f>
        <v>-</v>
      </c>
      <c r="E305" s="114" t="str">
        <f>VLOOKUP(A305,P_DIS!$B$32:$Q$263,14)</f>
        <v>-</v>
      </c>
      <c r="F305" s="114">
        <f>VLOOKUP(A305,P_DIS!$B$32:$Q$263,10)</f>
        <v>0</v>
      </c>
      <c r="G305" s="114" t="str">
        <f>VLOOKUP(A305,P_DIS!$B$32:$Q$263,11)</f>
        <v>-</v>
      </c>
      <c r="H305" s="114" t="str">
        <f>VLOOKUP(A305,P_DIS!$B$32:$Q$263,16)</f>
        <v>-</v>
      </c>
      <c r="I305" s="115" t="str">
        <f t="shared" si="106"/>
        <v/>
      </c>
      <c r="J305" s="116" t="str">
        <f t="shared" si="107"/>
        <v/>
      </c>
      <c r="K305" s="117" t="str">
        <f t="shared" si="108"/>
        <v/>
      </c>
      <c r="L305" s="118" t="str">
        <f t="shared" si="109"/>
        <v/>
      </c>
      <c r="M305" s="118" t="str">
        <f t="shared" si="110"/>
        <v/>
      </c>
      <c r="N305" s="118" t="str">
        <f t="shared" si="111"/>
        <v/>
      </c>
      <c r="O305" s="118" t="str">
        <f t="shared" si="112"/>
        <v/>
      </c>
      <c r="P305" s="118" t="str">
        <f t="shared" si="113"/>
        <v/>
      </c>
      <c r="Q305" s="118" t="str">
        <f t="shared" si="114"/>
        <v/>
      </c>
      <c r="R305" s="118" t="str">
        <f t="shared" si="115"/>
        <v/>
      </c>
      <c r="S305" s="118" t="str">
        <f t="shared" si="116"/>
        <v/>
      </c>
      <c r="T305" s="119" t="str">
        <f t="shared" si="99"/>
        <v/>
      </c>
      <c r="U305" s="119" t="str">
        <f t="shared" si="100"/>
        <v/>
      </c>
      <c r="V305" s="120" t="str">
        <f t="shared" si="101"/>
        <v/>
      </c>
      <c r="W305" s="120" t="str">
        <f t="shared" si="102"/>
        <v/>
      </c>
      <c r="X305" s="120" t="str">
        <f t="shared" si="129"/>
        <v/>
      </c>
      <c r="Y305" s="121" t="str">
        <f t="shared" si="130"/>
        <v/>
      </c>
      <c r="Z305" s="121" t="str">
        <f t="shared" si="131"/>
        <v/>
      </c>
      <c r="AA305" s="122">
        <v>1</v>
      </c>
      <c r="AB305" s="123">
        <v>1</v>
      </c>
      <c r="AC305" s="123" t="str">
        <f t="shared" si="117"/>
        <v/>
      </c>
      <c r="AD305" s="123" t="str">
        <f t="shared" si="118"/>
        <v/>
      </c>
      <c r="AE305" s="123" t="str">
        <f t="shared" si="119"/>
        <v/>
      </c>
      <c r="AF305" s="123" t="str">
        <f t="shared" si="120"/>
        <v/>
      </c>
      <c r="AG305" s="123" t="str">
        <f t="shared" si="121"/>
        <v/>
      </c>
      <c r="AH305" s="115" t="str">
        <f t="shared" si="122"/>
        <v/>
      </c>
      <c r="AI305" s="115" t="str">
        <f t="shared" si="123"/>
        <v/>
      </c>
      <c r="AJ305" s="115" t="str">
        <f t="shared" si="124"/>
        <v/>
      </c>
      <c r="AK305" s="115" t="str">
        <f t="shared" si="125"/>
        <v/>
      </c>
      <c r="AL305" s="115" t="str">
        <f t="shared" si="126"/>
        <v/>
      </c>
      <c r="AM305" s="115" t="str">
        <f t="shared" si="127"/>
        <v/>
      </c>
      <c r="AN305" s="115" t="str">
        <f t="shared" si="128"/>
        <v/>
      </c>
      <c r="AO305" s="3"/>
      <c r="AP305" s="3"/>
      <c r="AQ305" s="3"/>
      <c r="AR305" s="3"/>
      <c r="AS305" s="3"/>
      <c r="AT305" s="3"/>
      <c r="AU305" s="3"/>
      <c r="AZ305" s="1"/>
      <c r="BA305" s="1"/>
      <c r="BB305" s="1"/>
      <c r="BC305" s="1"/>
      <c r="BD305" s="1"/>
      <c r="BE305" s="1"/>
      <c r="BF305" s="1"/>
    </row>
    <row r="306" spans="1:58">
      <c r="A306" s="109">
        <v>182</v>
      </c>
      <c r="B306" s="114" t="str">
        <f>VLOOKUP(A306,P_DIS!$B$32:$Q$263,12)</f>
        <v>-</v>
      </c>
      <c r="C306" s="114" t="str">
        <f>VLOOKUP(A306,P_DIS!$B$32:$Q$263,13)</f>
        <v>-</v>
      </c>
      <c r="D306" s="114" t="str">
        <f>VLOOKUP(A306,P_DIS!$B$32:$Q$263,15)</f>
        <v>-</v>
      </c>
      <c r="E306" s="114" t="str">
        <f>VLOOKUP(A306,P_DIS!$B$32:$Q$263,14)</f>
        <v>-</v>
      </c>
      <c r="F306" s="114">
        <f>VLOOKUP(A306,P_DIS!$B$32:$Q$263,10)</f>
        <v>0</v>
      </c>
      <c r="G306" s="114" t="str">
        <f>VLOOKUP(A306,P_DIS!$B$32:$Q$263,11)</f>
        <v>-</v>
      </c>
      <c r="H306" s="114" t="str">
        <f>VLOOKUP(A306,P_DIS!$B$32:$Q$263,16)</f>
        <v>-</v>
      </c>
      <c r="I306" s="115" t="str">
        <f t="shared" si="106"/>
        <v/>
      </c>
      <c r="J306" s="116" t="str">
        <f t="shared" si="107"/>
        <v/>
      </c>
      <c r="K306" s="117" t="str">
        <f t="shared" si="108"/>
        <v/>
      </c>
      <c r="L306" s="118" t="str">
        <f t="shared" si="109"/>
        <v/>
      </c>
      <c r="M306" s="118" t="str">
        <f t="shared" si="110"/>
        <v/>
      </c>
      <c r="N306" s="118" t="str">
        <f t="shared" si="111"/>
        <v/>
      </c>
      <c r="O306" s="118" t="str">
        <f t="shared" si="112"/>
        <v/>
      </c>
      <c r="P306" s="118" t="str">
        <f t="shared" si="113"/>
        <v/>
      </c>
      <c r="Q306" s="118" t="str">
        <f t="shared" si="114"/>
        <v/>
      </c>
      <c r="R306" s="118" t="str">
        <f t="shared" si="115"/>
        <v/>
      </c>
      <c r="S306" s="118" t="str">
        <f t="shared" si="116"/>
        <v/>
      </c>
      <c r="T306" s="119" t="str">
        <f t="shared" si="99"/>
        <v/>
      </c>
      <c r="U306" s="119" t="str">
        <f t="shared" si="100"/>
        <v/>
      </c>
      <c r="V306" s="120" t="str">
        <f t="shared" si="101"/>
        <v/>
      </c>
      <c r="W306" s="120" t="str">
        <f t="shared" si="102"/>
        <v/>
      </c>
      <c r="X306" s="120" t="str">
        <f t="shared" si="129"/>
        <v/>
      </c>
      <c r="Y306" s="121" t="str">
        <f t="shared" si="130"/>
        <v/>
      </c>
      <c r="Z306" s="121" t="str">
        <f t="shared" si="131"/>
        <v/>
      </c>
      <c r="AA306" s="122">
        <v>1</v>
      </c>
      <c r="AB306" s="123">
        <v>1</v>
      </c>
      <c r="AC306" s="123" t="str">
        <f t="shared" si="117"/>
        <v/>
      </c>
      <c r="AD306" s="123" t="str">
        <f t="shared" si="118"/>
        <v/>
      </c>
      <c r="AE306" s="123" t="str">
        <f t="shared" si="119"/>
        <v/>
      </c>
      <c r="AF306" s="123" t="str">
        <f t="shared" si="120"/>
        <v/>
      </c>
      <c r="AG306" s="123" t="str">
        <f t="shared" si="121"/>
        <v/>
      </c>
      <c r="AH306" s="115" t="str">
        <f t="shared" si="122"/>
        <v/>
      </c>
      <c r="AI306" s="115" t="str">
        <f t="shared" si="123"/>
        <v/>
      </c>
      <c r="AJ306" s="115" t="str">
        <f t="shared" si="124"/>
        <v/>
      </c>
      <c r="AK306" s="115" t="str">
        <f t="shared" si="125"/>
        <v/>
      </c>
      <c r="AL306" s="115" t="str">
        <f t="shared" si="126"/>
        <v/>
      </c>
      <c r="AM306" s="115" t="str">
        <f t="shared" si="127"/>
        <v/>
      </c>
      <c r="AN306" s="115" t="str">
        <f t="shared" si="128"/>
        <v/>
      </c>
      <c r="AO306" s="3"/>
      <c r="AP306" s="3"/>
      <c r="AQ306" s="3"/>
      <c r="AR306" s="3"/>
      <c r="AS306" s="3"/>
      <c r="AT306" s="3"/>
      <c r="AU306" s="3"/>
      <c r="AZ306" s="1"/>
      <c r="BA306" s="1"/>
      <c r="BB306" s="1"/>
      <c r="BC306" s="1"/>
      <c r="BD306" s="1"/>
      <c r="BE306" s="1"/>
      <c r="BF306" s="1"/>
    </row>
    <row r="307" spans="1:58">
      <c r="A307" s="109">
        <v>183</v>
      </c>
      <c r="B307" s="114" t="str">
        <f>VLOOKUP(A307,P_DIS!$B$32:$Q$263,12)</f>
        <v>-</v>
      </c>
      <c r="C307" s="114" t="str">
        <f>VLOOKUP(A307,P_DIS!$B$32:$Q$263,13)</f>
        <v>-</v>
      </c>
      <c r="D307" s="114" t="str">
        <f>VLOOKUP(A307,P_DIS!$B$32:$Q$263,15)</f>
        <v>-</v>
      </c>
      <c r="E307" s="114" t="str">
        <f>VLOOKUP(A307,P_DIS!$B$32:$Q$263,14)</f>
        <v>-</v>
      </c>
      <c r="F307" s="114">
        <f>VLOOKUP(A307,P_DIS!$B$32:$Q$263,10)</f>
        <v>0</v>
      </c>
      <c r="G307" s="114" t="str">
        <f>VLOOKUP(A307,P_DIS!$B$32:$Q$263,11)</f>
        <v>-</v>
      </c>
      <c r="H307" s="114" t="str">
        <f>VLOOKUP(A307,P_DIS!$B$32:$Q$263,16)</f>
        <v>-</v>
      </c>
      <c r="I307" s="115" t="str">
        <f t="shared" si="106"/>
        <v/>
      </c>
      <c r="J307" s="116" t="str">
        <f t="shared" si="107"/>
        <v/>
      </c>
      <c r="K307" s="117" t="str">
        <f t="shared" si="108"/>
        <v/>
      </c>
      <c r="L307" s="118" t="str">
        <f t="shared" si="109"/>
        <v/>
      </c>
      <c r="M307" s="118" t="str">
        <f t="shared" si="110"/>
        <v/>
      </c>
      <c r="N307" s="118" t="str">
        <f t="shared" si="111"/>
        <v/>
      </c>
      <c r="O307" s="118" t="str">
        <f t="shared" si="112"/>
        <v/>
      </c>
      <c r="P307" s="118" t="str">
        <f t="shared" si="113"/>
        <v/>
      </c>
      <c r="Q307" s="118" t="str">
        <f t="shared" si="114"/>
        <v/>
      </c>
      <c r="R307" s="118" t="str">
        <f t="shared" si="115"/>
        <v/>
      </c>
      <c r="S307" s="118" t="str">
        <f t="shared" si="116"/>
        <v/>
      </c>
      <c r="T307" s="119" t="str">
        <f t="shared" si="99"/>
        <v/>
      </c>
      <c r="U307" s="119" t="str">
        <f t="shared" si="100"/>
        <v/>
      </c>
      <c r="V307" s="120" t="str">
        <f t="shared" si="101"/>
        <v/>
      </c>
      <c r="W307" s="120" t="str">
        <f t="shared" si="102"/>
        <v/>
      </c>
      <c r="X307" s="120" t="str">
        <f t="shared" si="129"/>
        <v/>
      </c>
      <c r="Y307" s="121" t="str">
        <f t="shared" si="130"/>
        <v/>
      </c>
      <c r="Z307" s="121" t="str">
        <f t="shared" si="131"/>
        <v/>
      </c>
      <c r="AA307" s="122">
        <v>1</v>
      </c>
      <c r="AB307" s="123">
        <v>1</v>
      </c>
      <c r="AC307" s="123" t="str">
        <f t="shared" si="117"/>
        <v/>
      </c>
      <c r="AD307" s="123" t="str">
        <f t="shared" si="118"/>
        <v/>
      </c>
      <c r="AE307" s="123" t="str">
        <f t="shared" si="119"/>
        <v/>
      </c>
      <c r="AF307" s="123" t="str">
        <f t="shared" si="120"/>
        <v/>
      </c>
      <c r="AG307" s="123" t="str">
        <f t="shared" si="121"/>
        <v/>
      </c>
      <c r="AH307" s="115" t="str">
        <f t="shared" si="122"/>
        <v/>
      </c>
      <c r="AI307" s="115" t="str">
        <f t="shared" si="123"/>
        <v/>
      </c>
      <c r="AJ307" s="115" t="str">
        <f t="shared" si="124"/>
        <v/>
      </c>
      <c r="AK307" s="115" t="str">
        <f t="shared" si="125"/>
        <v/>
      </c>
      <c r="AL307" s="115" t="str">
        <f t="shared" si="126"/>
        <v/>
      </c>
      <c r="AM307" s="115" t="str">
        <f t="shared" si="127"/>
        <v/>
      </c>
      <c r="AN307" s="115" t="str">
        <f t="shared" si="128"/>
        <v/>
      </c>
      <c r="AO307" s="3"/>
      <c r="AP307" s="3"/>
      <c r="AQ307" s="3"/>
      <c r="AR307" s="3"/>
      <c r="AS307" s="3"/>
      <c r="AT307" s="3"/>
      <c r="AU307" s="3"/>
      <c r="AZ307" s="1"/>
      <c r="BA307" s="1"/>
      <c r="BB307" s="1"/>
      <c r="BC307" s="1"/>
      <c r="BD307" s="1"/>
      <c r="BE307" s="1"/>
      <c r="BF307" s="1"/>
    </row>
    <row r="308" spans="1:58">
      <c r="A308" s="109">
        <v>184</v>
      </c>
      <c r="B308" s="114" t="str">
        <f>VLOOKUP(A308,P_DIS!$B$32:$Q$263,12)</f>
        <v>-</v>
      </c>
      <c r="C308" s="114" t="str">
        <f>VLOOKUP(A308,P_DIS!$B$32:$Q$263,13)</f>
        <v>-</v>
      </c>
      <c r="D308" s="114" t="str">
        <f>VLOOKUP(A308,P_DIS!$B$32:$Q$263,15)</f>
        <v>-</v>
      </c>
      <c r="E308" s="114" t="str">
        <f>VLOOKUP(A308,P_DIS!$B$32:$Q$263,14)</f>
        <v>-</v>
      </c>
      <c r="F308" s="114">
        <f>VLOOKUP(A308,P_DIS!$B$32:$Q$263,10)</f>
        <v>0</v>
      </c>
      <c r="G308" s="114" t="str">
        <f>VLOOKUP(A308,P_DIS!$B$32:$Q$263,11)</f>
        <v>-</v>
      </c>
      <c r="H308" s="114" t="str">
        <f>VLOOKUP(A308,P_DIS!$B$32:$Q$263,16)</f>
        <v>-</v>
      </c>
      <c r="I308" s="115" t="str">
        <f t="shared" si="106"/>
        <v/>
      </c>
      <c r="J308" s="116" t="str">
        <f t="shared" si="107"/>
        <v/>
      </c>
      <c r="K308" s="117" t="str">
        <f t="shared" si="108"/>
        <v/>
      </c>
      <c r="L308" s="118" t="str">
        <f t="shared" si="109"/>
        <v/>
      </c>
      <c r="M308" s="118" t="str">
        <f t="shared" si="110"/>
        <v/>
      </c>
      <c r="N308" s="118" t="str">
        <f t="shared" si="111"/>
        <v/>
      </c>
      <c r="O308" s="118" t="str">
        <f t="shared" si="112"/>
        <v/>
      </c>
      <c r="P308" s="118" t="str">
        <f t="shared" si="113"/>
        <v/>
      </c>
      <c r="Q308" s="118" t="str">
        <f t="shared" si="114"/>
        <v/>
      </c>
      <c r="R308" s="118" t="str">
        <f t="shared" si="115"/>
        <v/>
      </c>
      <c r="S308" s="118" t="str">
        <f t="shared" si="116"/>
        <v/>
      </c>
      <c r="T308" s="119" t="str">
        <f t="shared" si="99"/>
        <v/>
      </c>
      <c r="U308" s="119" t="str">
        <f t="shared" si="100"/>
        <v/>
      </c>
      <c r="V308" s="120" t="str">
        <f t="shared" si="101"/>
        <v/>
      </c>
      <c r="W308" s="120" t="str">
        <f t="shared" si="102"/>
        <v/>
      </c>
      <c r="X308" s="120" t="str">
        <f t="shared" si="129"/>
        <v/>
      </c>
      <c r="Y308" s="121" t="str">
        <f t="shared" si="130"/>
        <v/>
      </c>
      <c r="Z308" s="121" t="str">
        <f t="shared" si="131"/>
        <v/>
      </c>
      <c r="AA308" s="122">
        <v>1</v>
      </c>
      <c r="AB308" s="123">
        <v>1</v>
      </c>
      <c r="AC308" s="123" t="str">
        <f t="shared" si="117"/>
        <v/>
      </c>
      <c r="AD308" s="123" t="str">
        <f t="shared" si="118"/>
        <v/>
      </c>
      <c r="AE308" s="123" t="str">
        <f t="shared" si="119"/>
        <v/>
      </c>
      <c r="AF308" s="123" t="str">
        <f t="shared" si="120"/>
        <v/>
      </c>
      <c r="AG308" s="123" t="str">
        <f t="shared" si="121"/>
        <v/>
      </c>
      <c r="AH308" s="115" t="str">
        <f t="shared" si="122"/>
        <v/>
      </c>
      <c r="AI308" s="115" t="str">
        <f t="shared" si="123"/>
        <v/>
      </c>
      <c r="AJ308" s="115" t="str">
        <f t="shared" si="124"/>
        <v/>
      </c>
      <c r="AK308" s="115" t="str">
        <f t="shared" si="125"/>
        <v/>
      </c>
      <c r="AL308" s="115" t="str">
        <f t="shared" si="126"/>
        <v/>
      </c>
      <c r="AM308" s="115" t="str">
        <f t="shared" si="127"/>
        <v/>
      </c>
      <c r="AN308" s="115" t="str">
        <f t="shared" si="128"/>
        <v/>
      </c>
      <c r="AO308" s="3"/>
      <c r="AP308" s="3"/>
      <c r="AQ308" s="3"/>
      <c r="AR308" s="3"/>
      <c r="AS308" s="3"/>
      <c r="AT308" s="3"/>
      <c r="AU308" s="3"/>
      <c r="AZ308" s="1"/>
      <c r="BA308" s="1"/>
      <c r="BB308" s="1"/>
      <c r="BC308" s="1"/>
      <c r="BD308" s="1"/>
      <c r="BE308" s="1"/>
      <c r="BF308" s="1"/>
    </row>
    <row r="309" spans="1:58">
      <c r="A309" s="109">
        <v>185</v>
      </c>
      <c r="B309" s="114" t="str">
        <f>VLOOKUP(A309,P_DIS!$B$32:$Q$263,12)</f>
        <v>-</v>
      </c>
      <c r="C309" s="114" t="str">
        <f>VLOOKUP(A309,P_DIS!$B$32:$Q$263,13)</f>
        <v>-</v>
      </c>
      <c r="D309" s="114" t="str">
        <f>VLOOKUP(A309,P_DIS!$B$32:$Q$263,15)</f>
        <v>-</v>
      </c>
      <c r="E309" s="114" t="str">
        <f>VLOOKUP(A309,P_DIS!$B$32:$Q$263,14)</f>
        <v>-</v>
      </c>
      <c r="F309" s="114">
        <f>VLOOKUP(A309,P_DIS!$B$32:$Q$263,10)</f>
        <v>0</v>
      </c>
      <c r="G309" s="114" t="str">
        <f>VLOOKUP(A309,P_DIS!$B$32:$Q$263,11)</f>
        <v>-</v>
      </c>
      <c r="H309" s="114" t="str">
        <f>VLOOKUP(A309,P_DIS!$B$32:$Q$263,16)</f>
        <v>-</v>
      </c>
      <c r="I309" s="115" t="str">
        <f t="shared" si="106"/>
        <v/>
      </c>
      <c r="J309" s="116" t="str">
        <f t="shared" si="107"/>
        <v/>
      </c>
      <c r="K309" s="117" t="str">
        <f t="shared" si="108"/>
        <v/>
      </c>
      <c r="L309" s="118" t="str">
        <f t="shared" si="109"/>
        <v/>
      </c>
      <c r="M309" s="118" t="str">
        <f t="shared" si="110"/>
        <v/>
      </c>
      <c r="N309" s="118" t="str">
        <f t="shared" si="111"/>
        <v/>
      </c>
      <c r="O309" s="118" t="str">
        <f t="shared" si="112"/>
        <v/>
      </c>
      <c r="P309" s="118" t="str">
        <f t="shared" si="113"/>
        <v/>
      </c>
      <c r="Q309" s="118" t="str">
        <f t="shared" si="114"/>
        <v/>
      </c>
      <c r="R309" s="118" t="str">
        <f t="shared" si="115"/>
        <v/>
      </c>
      <c r="S309" s="118" t="str">
        <f t="shared" si="116"/>
        <v/>
      </c>
      <c r="T309" s="119" t="str">
        <f t="shared" si="99"/>
        <v/>
      </c>
      <c r="U309" s="119" t="str">
        <f t="shared" si="100"/>
        <v/>
      </c>
      <c r="V309" s="120" t="str">
        <f t="shared" si="101"/>
        <v/>
      </c>
      <c r="W309" s="120" t="str">
        <f t="shared" si="102"/>
        <v/>
      </c>
      <c r="X309" s="120" t="str">
        <f t="shared" si="129"/>
        <v/>
      </c>
      <c r="Y309" s="121" t="str">
        <f t="shared" si="130"/>
        <v/>
      </c>
      <c r="Z309" s="121" t="str">
        <f t="shared" si="131"/>
        <v/>
      </c>
      <c r="AA309" s="122">
        <v>1</v>
      </c>
      <c r="AB309" s="123">
        <v>1</v>
      </c>
      <c r="AC309" s="123" t="str">
        <f t="shared" si="117"/>
        <v/>
      </c>
      <c r="AD309" s="123" t="str">
        <f t="shared" si="118"/>
        <v/>
      </c>
      <c r="AE309" s="123" t="str">
        <f t="shared" si="119"/>
        <v/>
      </c>
      <c r="AF309" s="123" t="str">
        <f t="shared" si="120"/>
        <v/>
      </c>
      <c r="AG309" s="123" t="str">
        <f t="shared" si="121"/>
        <v/>
      </c>
      <c r="AH309" s="115" t="str">
        <f t="shared" si="122"/>
        <v/>
      </c>
      <c r="AI309" s="115" t="str">
        <f t="shared" si="123"/>
        <v/>
      </c>
      <c r="AJ309" s="115" t="str">
        <f t="shared" si="124"/>
        <v/>
      </c>
      <c r="AK309" s="115" t="str">
        <f t="shared" si="125"/>
        <v/>
      </c>
      <c r="AL309" s="115" t="str">
        <f t="shared" si="126"/>
        <v/>
      </c>
      <c r="AM309" s="115" t="str">
        <f t="shared" si="127"/>
        <v/>
      </c>
      <c r="AN309" s="115" t="str">
        <f t="shared" si="128"/>
        <v/>
      </c>
      <c r="AO309" s="3"/>
      <c r="AP309" s="3"/>
      <c r="AQ309" s="3"/>
      <c r="AR309" s="3"/>
      <c r="AS309" s="3"/>
      <c r="AT309" s="3"/>
      <c r="AU309" s="3"/>
      <c r="AZ309" s="1"/>
      <c r="BA309" s="1"/>
      <c r="BB309" s="1"/>
      <c r="BC309" s="1"/>
      <c r="BD309" s="1"/>
      <c r="BE309" s="1"/>
      <c r="BF309" s="1"/>
    </row>
    <row r="310" spans="1:58">
      <c r="A310" s="109">
        <v>186</v>
      </c>
      <c r="B310" s="114" t="str">
        <f>VLOOKUP(A310,P_DIS!$B$32:$Q$263,12)</f>
        <v>-</v>
      </c>
      <c r="C310" s="114" t="str">
        <f>VLOOKUP(A310,P_DIS!$B$32:$Q$263,13)</f>
        <v>-</v>
      </c>
      <c r="D310" s="114" t="str">
        <f>VLOOKUP(A310,P_DIS!$B$32:$Q$263,15)</f>
        <v>-</v>
      </c>
      <c r="E310" s="114" t="str">
        <f>VLOOKUP(A310,P_DIS!$B$32:$Q$263,14)</f>
        <v>-</v>
      </c>
      <c r="F310" s="114">
        <f>VLOOKUP(A310,P_DIS!$B$32:$Q$263,10)</f>
        <v>0</v>
      </c>
      <c r="G310" s="114" t="str">
        <f>VLOOKUP(A310,P_DIS!$B$32:$Q$263,11)</f>
        <v>-</v>
      </c>
      <c r="H310" s="114" t="str">
        <f>VLOOKUP(A310,P_DIS!$B$32:$Q$263,16)</f>
        <v>-</v>
      </c>
      <c r="I310" s="115" t="str">
        <f t="shared" si="106"/>
        <v/>
      </c>
      <c r="J310" s="116" t="str">
        <f t="shared" si="107"/>
        <v/>
      </c>
      <c r="K310" s="117" t="str">
        <f t="shared" si="108"/>
        <v/>
      </c>
      <c r="L310" s="118" t="str">
        <f t="shared" si="109"/>
        <v/>
      </c>
      <c r="M310" s="118" t="str">
        <f t="shared" si="110"/>
        <v/>
      </c>
      <c r="N310" s="118" t="str">
        <f t="shared" si="111"/>
        <v/>
      </c>
      <c r="O310" s="118" t="str">
        <f t="shared" si="112"/>
        <v/>
      </c>
      <c r="P310" s="118" t="str">
        <f t="shared" si="113"/>
        <v/>
      </c>
      <c r="Q310" s="118" t="str">
        <f t="shared" si="114"/>
        <v/>
      </c>
      <c r="R310" s="118" t="str">
        <f t="shared" si="115"/>
        <v/>
      </c>
      <c r="S310" s="118" t="str">
        <f t="shared" si="116"/>
        <v/>
      </c>
      <c r="T310" s="119" t="str">
        <f t="shared" si="99"/>
        <v/>
      </c>
      <c r="U310" s="119" t="str">
        <f t="shared" si="100"/>
        <v/>
      </c>
      <c r="V310" s="120" t="str">
        <f t="shared" si="101"/>
        <v/>
      </c>
      <c r="W310" s="120" t="str">
        <f t="shared" si="102"/>
        <v/>
      </c>
      <c r="X310" s="120" t="str">
        <f t="shared" si="129"/>
        <v/>
      </c>
      <c r="Y310" s="121" t="str">
        <f t="shared" si="130"/>
        <v/>
      </c>
      <c r="Z310" s="121" t="str">
        <f t="shared" si="131"/>
        <v/>
      </c>
      <c r="AA310" s="122">
        <v>1</v>
      </c>
      <c r="AB310" s="123">
        <v>1</v>
      </c>
      <c r="AC310" s="123" t="str">
        <f t="shared" si="117"/>
        <v/>
      </c>
      <c r="AD310" s="123" t="str">
        <f t="shared" si="118"/>
        <v/>
      </c>
      <c r="AE310" s="123" t="str">
        <f t="shared" si="119"/>
        <v/>
      </c>
      <c r="AF310" s="123" t="str">
        <f t="shared" si="120"/>
        <v/>
      </c>
      <c r="AG310" s="123" t="str">
        <f t="shared" si="121"/>
        <v/>
      </c>
      <c r="AH310" s="115" t="str">
        <f t="shared" si="122"/>
        <v/>
      </c>
      <c r="AI310" s="115" t="str">
        <f t="shared" si="123"/>
        <v/>
      </c>
      <c r="AJ310" s="115" t="str">
        <f t="shared" si="124"/>
        <v/>
      </c>
      <c r="AK310" s="115" t="str">
        <f t="shared" si="125"/>
        <v/>
      </c>
      <c r="AL310" s="115" t="str">
        <f t="shared" si="126"/>
        <v/>
      </c>
      <c r="AM310" s="115" t="str">
        <f t="shared" si="127"/>
        <v/>
      </c>
      <c r="AN310" s="115" t="str">
        <f t="shared" si="128"/>
        <v/>
      </c>
      <c r="AO310" s="3"/>
      <c r="AP310" s="3"/>
      <c r="AQ310" s="3"/>
      <c r="AR310" s="3"/>
      <c r="AS310" s="3"/>
      <c r="AT310" s="3"/>
      <c r="AU310" s="3"/>
      <c r="AZ310" s="1"/>
      <c r="BA310" s="1"/>
      <c r="BB310" s="1"/>
      <c r="BC310" s="1"/>
      <c r="BD310" s="1"/>
      <c r="BE310" s="1"/>
      <c r="BF310" s="1"/>
    </row>
    <row r="311" spans="1:58">
      <c r="A311" s="109">
        <v>187</v>
      </c>
      <c r="B311" s="114" t="str">
        <f>VLOOKUP(A311,P_DIS!$B$32:$Q$263,12)</f>
        <v>-</v>
      </c>
      <c r="C311" s="114" t="str">
        <f>VLOOKUP(A311,P_DIS!$B$32:$Q$263,13)</f>
        <v>-</v>
      </c>
      <c r="D311" s="114" t="str">
        <f>VLOOKUP(A311,P_DIS!$B$32:$Q$263,15)</f>
        <v>-</v>
      </c>
      <c r="E311" s="114" t="str">
        <f>VLOOKUP(A311,P_DIS!$B$32:$Q$263,14)</f>
        <v>-</v>
      </c>
      <c r="F311" s="114">
        <f>VLOOKUP(A311,P_DIS!$B$32:$Q$263,10)</f>
        <v>0</v>
      </c>
      <c r="G311" s="114" t="str">
        <f>VLOOKUP(A311,P_DIS!$B$32:$Q$263,11)</f>
        <v>-</v>
      </c>
      <c r="H311" s="114" t="str">
        <f>VLOOKUP(A311,P_DIS!$B$32:$Q$263,16)</f>
        <v>-</v>
      </c>
      <c r="I311" s="115" t="str">
        <f t="shared" si="106"/>
        <v/>
      </c>
      <c r="J311" s="116" t="str">
        <f t="shared" si="107"/>
        <v/>
      </c>
      <c r="K311" s="117" t="str">
        <f t="shared" si="108"/>
        <v/>
      </c>
      <c r="L311" s="118" t="str">
        <f t="shared" si="109"/>
        <v/>
      </c>
      <c r="M311" s="118" t="str">
        <f t="shared" si="110"/>
        <v/>
      </c>
      <c r="N311" s="118" t="str">
        <f t="shared" si="111"/>
        <v/>
      </c>
      <c r="O311" s="118" t="str">
        <f t="shared" si="112"/>
        <v/>
      </c>
      <c r="P311" s="118" t="str">
        <f t="shared" si="113"/>
        <v/>
      </c>
      <c r="Q311" s="118" t="str">
        <f t="shared" si="114"/>
        <v/>
      </c>
      <c r="R311" s="118" t="str">
        <f t="shared" si="115"/>
        <v/>
      </c>
      <c r="S311" s="118" t="str">
        <f t="shared" si="116"/>
        <v/>
      </c>
      <c r="T311" s="119" t="str">
        <f t="shared" si="99"/>
        <v/>
      </c>
      <c r="U311" s="119" t="str">
        <f t="shared" si="100"/>
        <v/>
      </c>
      <c r="V311" s="120" t="str">
        <f t="shared" si="101"/>
        <v/>
      </c>
      <c r="W311" s="120" t="str">
        <f t="shared" si="102"/>
        <v/>
      </c>
      <c r="X311" s="120" t="str">
        <f t="shared" si="129"/>
        <v/>
      </c>
      <c r="Y311" s="121" t="str">
        <f t="shared" si="130"/>
        <v/>
      </c>
      <c r="Z311" s="121" t="str">
        <f t="shared" si="131"/>
        <v/>
      </c>
      <c r="AA311" s="122">
        <v>1</v>
      </c>
      <c r="AB311" s="123">
        <v>1</v>
      </c>
      <c r="AC311" s="123" t="str">
        <f t="shared" si="117"/>
        <v/>
      </c>
      <c r="AD311" s="123" t="str">
        <f t="shared" si="118"/>
        <v/>
      </c>
      <c r="AE311" s="123" t="str">
        <f t="shared" si="119"/>
        <v/>
      </c>
      <c r="AF311" s="123" t="str">
        <f t="shared" si="120"/>
        <v/>
      </c>
      <c r="AG311" s="123" t="str">
        <f t="shared" si="121"/>
        <v/>
      </c>
      <c r="AH311" s="115" t="str">
        <f t="shared" si="122"/>
        <v/>
      </c>
      <c r="AI311" s="115" t="str">
        <f t="shared" si="123"/>
        <v/>
      </c>
      <c r="AJ311" s="115" t="str">
        <f t="shared" si="124"/>
        <v/>
      </c>
      <c r="AK311" s="115" t="str">
        <f t="shared" si="125"/>
        <v/>
      </c>
      <c r="AL311" s="115" t="str">
        <f t="shared" si="126"/>
        <v/>
      </c>
      <c r="AM311" s="115" t="str">
        <f t="shared" si="127"/>
        <v/>
      </c>
      <c r="AN311" s="115" t="str">
        <f t="shared" si="128"/>
        <v/>
      </c>
      <c r="AO311" s="3"/>
      <c r="AP311" s="3"/>
      <c r="AQ311" s="3"/>
      <c r="AR311" s="3"/>
      <c r="AS311" s="3"/>
      <c r="AT311" s="3"/>
      <c r="AU311" s="3"/>
      <c r="AZ311" s="1"/>
      <c r="BA311" s="1"/>
      <c r="BB311" s="1"/>
      <c r="BC311" s="1"/>
      <c r="BD311" s="1"/>
      <c r="BE311" s="1"/>
      <c r="BF311" s="1"/>
    </row>
    <row r="312" spans="1:58">
      <c r="A312" s="109">
        <v>188</v>
      </c>
      <c r="B312" s="114" t="str">
        <f>VLOOKUP(A312,P_DIS!$B$32:$Q$263,12)</f>
        <v>-</v>
      </c>
      <c r="C312" s="114" t="str">
        <f>VLOOKUP(A312,P_DIS!$B$32:$Q$263,13)</f>
        <v>-</v>
      </c>
      <c r="D312" s="114" t="str">
        <f>VLOOKUP(A312,P_DIS!$B$32:$Q$263,15)</f>
        <v>-</v>
      </c>
      <c r="E312" s="114" t="str">
        <f>VLOOKUP(A312,P_DIS!$B$32:$Q$263,14)</f>
        <v>-</v>
      </c>
      <c r="F312" s="114">
        <f>VLOOKUP(A312,P_DIS!$B$32:$Q$263,10)</f>
        <v>0</v>
      </c>
      <c r="G312" s="114" t="str">
        <f>VLOOKUP(A312,P_DIS!$B$32:$Q$263,11)</f>
        <v>-</v>
      </c>
      <c r="H312" s="114" t="str">
        <f>VLOOKUP(A312,P_DIS!$B$32:$Q$263,16)</f>
        <v>-</v>
      </c>
      <c r="I312" s="115" t="str">
        <f t="shared" si="106"/>
        <v/>
      </c>
      <c r="J312" s="116" t="str">
        <f t="shared" si="107"/>
        <v/>
      </c>
      <c r="K312" s="117" t="str">
        <f t="shared" si="108"/>
        <v/>
      </c>
      <c r="L312" s="118" t="str">
        <f t="shared" si="109"/>
        <v/>
      </c>
      <c r="M312" s="118" t="str">
        <f t="shared" si="110"/>
        <v/>
      </c>
      <c r="N312" s="118" t="str">
        <f t="shared" si="111"/>
        <v/>
      </c>
      <c r="O312" s="118" t="str">
        <f t="shared" si="112"/>
        <v/>
      </c>
      <c r="P312" s="118" t="str">
        <f t="shared" si="113"/>
        <v/>
      </c>
      <c r="Q312" s="118" t="str">
        <f t="shared" si="114"/>
        <v/>
      </c>
      <c r="R312" s="118" t="str">
        <f t="shared" si="115"/>
        <v/>
      </c>
      <c r="S312" s="118" t="str">
        <f t="shared" si="116"/>
        <v/>
      </c>
      <c r="T312" s="119" t="str">
        <f t="shared" si="99"/>
        <v/>
      </c>
      <c r="U312" s="119" t="str">
        <f t="shared" si="100"/>
        <v/>
      </c>
      <c r="V312" s="120" t="str">
        <f t="shared" si="101"/>
        <v/>
      </c>
      <c r="W312" s="120" t="str">
        <f t="shared" si="102"/>
        <v/>
      </c>
      <c r="X312" s="120" t="str">
        <f t="shared" si="129"/>
        <v/>
      </c>
      <c r="Y312" s="121" t="str">
        <f t="shared" si="130"/>
        <v/>
      </c>
      <c r="Z312" s="121" t="str">
        <f t="shared" si="131"/>
        <v/>
      </c>
      <c r="AA312" s="122">
        <v>1</v>
      </c>
      <c r="AB312" s="123">
        <v>1</v>
      </c>
      <c r="AC312" s="123" t="str">
        <f t="shared" si="117"/>
        <v/>
      </c>
      <c r="AD312" s="123" t="str">
        <f t="shared" si="118"/>
        <v/>
      </c>
      <c r="AE312" s="123" t="str">
        <f t="shared" si="119"/>
        <v/>
      </c>
      <c r="AF312" s="123" t="str">
        <f t="shared" si="120"/>
        <v/>
      </c>
      <c r="AG312" s="123" t="str">
        <f t="shared" si="121"/>
        <v/>
      </c>
      <c r="AH312" s="115" t="str">
        <f t="shared" si="122"/>
        <v/>
      </c>
      <c r="AI312" s="115" t="str">
        <f t="shared" si="123"/>
        <v/>
      </c>
      <c r="AJ312" s="115" t="str">
        <f t="shared" si="124"/>
        <v/>
      </c>
      <c r="AK312" s="115" t="str">
        <f t="shared" si="125"/>
        <v/>
      </c>
      <c r="AL312" s="115" t="str">
        <f t="shared" si="126"/>
        <v/>
      </c>
      <c r="AM312" s="115" t="str">
        <f t="shared" si="127"/>
        <v/>
      </c>
      <c r="AN312" s="115" t="str">
        <f t="shared" si="128"/>
        <v/>
      </c>
      <c r="AO312" s="3"/>
      <c r="AP312" s="3"/>
      <c r="AQ312" s="3"/>
      <c r="AR312" s="3"/>
      <c r="AS312" s="3"/>
      <c r="AT312" s="3"/>
      <c r="AU312" s="3"/>
      <c r="AZ312" s="1"/>
      <c r="BA312" s="1"/>
      <c r="BB312" s="1"/>
      <c r="BC312" s="1"/>
      <c r="BD312" s="1"/>
      <c r="BE312" s="1"/>
      <c r="BF312" s="1"/>
    </row>
    <row r="313" spans="1:58">
      <c r="A313" s="109">
        <v>189</v>
      </c>
      <c r="B313" s="114" t="str">
        <f>VLOOKUP(A313,P_DIS!$B$32:$Q$263,12)</f>
        <v>-</v>
      </c>
      <c r="C313" s="114" t="str">
        <f>VLOOKUP(A313,P_DIS!$B$32:$Q$263,13)</f>
        <v>-</v>
      </c>
      <c r="D313" s="114" t="str">
        <f>VLOOKUP(A313,P_DIS!$B$32:$Q$263,15)</f>
        <v>-</v>
      </c>
      <c r="E313" s="114" t="str">
        <f>VLOOKUP(A313,P_DIS!$B$32:$Q$263,14)</f>
        <v>-</v>
      </c>
      <c r="F313" s="114">
        <f>VLOOKUP(A313,P_DIS!$B$32:$Q$263,10)</f>
        <v>0</v>
      </c>
      <c r="G313" s="114" t="str">
        <f>VLOOKUP(A313,P_DIS!$B$32:$Q$263,11)</f>
        <v>-</v>
      </c>
      <c r="H313" s="114" t="str">
        <f>VLOOKUP(A313,P_DIS!$B$32:$Q$263,16)</f>
        <v>-</v>
      </c>
      <c r="I313" s="115" t="str">
        <f t="shared" si="106"/>
        <v/>
      </c>
      <c r="J313" s="116" t="str">
        <f t="shared" si="107"/>
        <v/>
      </c>
      <c r="K313" s="117" t="str">
        <f t="shared" si="108"/>
        <v/>
      </c>
      <c r="L313" s="118" t="str">
        <f t="shared" si="109"/>
        <v/>
      </c>
      <c r="M313" s="118" t="str">
        <f t="shared" si="110"/>
        <v/>
      </c>
      <c r="N313" s="118" t="str">
        <f t="shared" si="111"/>
        <v/>
      </c>
      <c r="O313" s="118" t="str">
        <f t="shared" si="112"/>
        <v/>
      </c>
      <c r="P313" s="118" t="str">
        <f t="shared" si="113"/>
        <v/>
      </c>
      <c r="Q313" s="118" t="str">
        <f t="shared" si="114"/>
        <v/>
      </c>
      <c r="R313" s="118" t="str">
        <f t="shared" si="115"/>
        <v/>
      </c>
      <c r="S313" s="118" t="str">
        <f t="shared" si="116"/>
        <v/>
      </c>
      <c r="T313" s="119" t="str">
        <f t="shared" si="99"/>
        <v/>
      </c>
      <c r="U313" s="119" t="str">
        <f t="shared" si="100"/>
        <v/>
      </c>
      <c r="V313" s="120" t="str">
        <f t="shared" si="101"/>
        <v/>
      </c>
      <c r="W313" s="120" t="str">
        <f t="shared" si="102"/>
        <v/>
      </c>
      <c r="X313" s="120" t="str">
        <f t="shared" si="129"/>
        <v/>
      </c>
      <c r="Y313" s="121" t="str">
        <f t="shared" si="130"/>
        <v/>
      </c>
      <c r="Z313" s="121" t="str">
        <f t="shared" si="131"/>
        <v/>
      </c>
      <c r="AA313" s="122">
        <v>1</v>
      </c>
      <c r="AB313" s="123">
        <v>1</v>
      </c>
      <c r="AC313" s="123" t="str">
        <f t="shared" si="117"/>
        <v/>
      </c>
      <c r="AD313" s="123" t="str">
        <f t="shared" si="118"/>
        <v/>
      </c>
      <c r="AE313" s="123" t="str">
        <f t="shared" si="119"/>
        <v/>
      </c>
      <c r="AF313" s="123" t="str">
        <f t="shared" si="120"/>
        <v/>
      </c>
      <c r="AG313" s="123" t="str">
        <f t="shared" si="121"/>
        <v/>
      </c>
      <c r="AH313" s="115" t="str">
        <f t="shared" si="122"/>
        <v/>
      </c>
      <c r="AI313" s="115" t="str">
        <f t="shared" si="123"/>
        <v/>
      </c>
      <c r="AJ313" s="115" t="str">
        <f t="shared" si="124"/>
        <v/>
      </c>
      <c r="AK313" s="115" t="str">
        <f t="shared" si="125"/>
        <v/>
      </c>
      <c r="AL313" s="115" t="str">
        <f t="shared" si="126"/>
        <v/>
      </c>
      <c r="AM313" s="115" t="str">
        <f t="shared" si="127"/>
        <v/>
      </c>
      <c r="AN313" s="115" t="str">
        <f t="shared" si="128"/>
        <v/>
      </c>
      <c r="AO313" s="3"/>
      <c r="AP313" s="3"/>
      <c r="AQ313" s="3"/>
      <c r="AR313" s="3"/>
      <c r="AS313" s="3"/>
      <c r="AT313" s="3"/>
      <c r="AU313" s="3"/>
      <c r="AZ313" s="1"/>
      <c r="BA313" s="1"/>
      <c r="BB313" s="1"/>
      <c r="BC313" s="1"/>
      <c r="BD313" s="1"/>
      <c r="BE313" s="1"/>
      <c r="BF313" s="1"/>
    </row>
    <row r="314" spans="1:58">
      <c r="A314" s="109">
        <v>190</v>
      </c>
      <c r="B314" s="114" t="str">
        <f>VLOOKUP(A314,P_DIS!$B$32:$Q$263,12)</f>
        <v>-</v>
      </c>
      <c r="C314" s="114" t="str">
        <f>VLOOKUP(A314,P_DIS!$B$32:$Q$263,13)</f>
        <v>-</v>
      </c>
      <c r="D314" s="114" t="str">
        <f>VLOOKUP(A314,P_DIS!$B$32:$Q$263,15)</f>
        <v>-</v>
      </c>
      <c r="E314" s="114" t="str">
        <f>VLOOKUP(A314,P_DIS!$B$32:$Q$263,14)</f>
        <v>-</v>
      </c>
      <c r="F314" s="114">
        <f>VLOOKUP(A314,P_DIS!$B$32:$Q$263,10)</f>
        <v>0</v>
      </c>
      <c r="G314" s="114" t="str">
        <f>VLOOKUP(A314,P_DIS!$B$32:$Q$263,11)</f>
        <v>-</v>
      </c>
      <c r="H314" s="114" t="str">
        <f>VLOOKUP(A314,P_DIS!$B$32:$Q$263,16)</f>
        <v>-</v>
      </c>
      <c r="I314" s="115" t="str">
        <f t="shared" si="106"/>
        <v/>
      </c>
      <c r="J314" s="116" t="str">
        <f t="shared" si="107"/>
        <v/>
      </c>
      <c r="K314" s="117" t="str">
        <f t="shared" si="108"/>
        <v/>
      </c>
      <c r="L314" s="118" t="str">
        <f t="shared" si="109"/>
        <v/>
      </c>
      <c r="M314" s="118" t="str">
        <f t="shared" si="110"/>
        <v/>
      </c>
      <c r="N314" s="118" t="str">
        <f t="shared" si="111"/>
        <v/>
      </c>
      <c r="O314" s="118" t="str">
        <f t="shared" si="112"/>
        <v/>
      </c>
      <c r="P314" s="118" t="str">
        <f t="shared" si="113"/>
        <v/>
      </c>
      <c r="Q314" s="118" t="str">
        <f t="shared" si="114"/>
        <v/>
      </c>
      <c r="R314" s="118" t="str">
        <f t="shared" si="115"/>
        <v/>
      </c>
      <c r="S314" s="118" t="str">
        <f t="shared" si="116"/>
        <v/>
      </c>
      <c r="T314" s="119" t="str">
        <f t="shared" si="99"/>
        <v/>
      </c>
      <c r="U314" s="119" t="str">
        <f t="shared" si="100"/>
        <v/>
      </c>
      <c r="V314" s="120" t="str">
        <f t="shared" si="101"/>
        <v/>
      </c>
      <c r="W314" s="120" t="str">
        <f t="shared" si="102"/>
        <v/>
      </c>
      <c r="X314" s="120" t="str">
        <f t="shared" si="129"/>
        <v/>
      </c>
      <c r="Y314" s="121" t="str">
        <f t="shared" si="130"/>
        <v/>
      </c>
      <c r="Z314" s="121" t="str">
        <f t="shared" si="131"/>
        <v/>
      </c>
      <c r="AA314" s="122">
        <v>1</v>
      </c>
      <c r="AB314" s="123">
        <v>1</v>
      </c>
      <c r="AC314" s="123" t="str">
        <f t="shared" si="117"/>
        <v/>
      </c>
      <c r="AD314" s="123" t="str">
        <f t="shared" si="118"/>
        <v/>
      </c>
      <c r="AE314" s="123" t="str">
        <f t="shared" si="119"/>
        <v/>
      </c>
      <c r="AF314" s="123" t="str">
        <f t="shared" si="120"/>
        <v/>
      </c>
      <c r="AG314" s="123" t="str">
        <f t="shared" si="121"/>
        <v/>
      </c>
      <c r="AH314" s="115" t="str">
        <f t="shared" si="122"/>
        <v/>
      </c>
      <c r="AI314" s="115" t="str">
        <f t="shared" si="123"/>
        <v/>
      </c>
      <c r="AJ314" s="115" t="str">
        <f t="shared" si="124"/>
        <v/>
      </c>
      <c r="AK314" s="115" t="str">
        <f t="shared" si="125"/>
        <v/>
      </c>
      <c r="AL314" s="115" t="str">
        <f t="shared" si="126"/>
        <v/>
      </c>
      <c r="AM314" s="115" t="str">
        <f t="shared" si="127"/>
        <v/>
      </c>
      <c r="AN314" s="115" t="str">
        <f t="shared" si="128"/>
        <v/>
      </c>
      <c r="AO314" s="3"/>
      <c r="AP314" s="3"/>
      <c r="AQ314" s="3"/>
      <c r="AR314" s="3"/>
      <c r="AS314" s="3"/>
      <c r="AT314" s="3"/>
      <c r="AU314" s="3"/>
      <c r="AZ314" s="1"/>
      <c r="BA314" s="1"/>
      <c r="BB314" s="1"/>
      <c r="BC314" s="1"/>
      <c r="BD314" s="1"/>
      <c r="BE314" s="1"/>
      <c r="BF314" s="1"/>
    </row>
    <row r="315" spans="1:58">
      <c r="A315" s="109">
        <v>191</v>
      </c>
      <c r="B315" s="114" t="str">
        <f>VLOOKUP(A315,P_DIS!$B$32:$Q$263,12)</f>
        <v>-</v>
      </c>
      <c r="C315" s="114" t="str">
        <f>VLOOKUP(A315,P_DIS!$B$32:$Q$263,13)</f>
        <v>-</v>
      </c>
      <c r="D315" s="114" t="str">
        <f>VLOOKUP(A315,P_DIS!$B$32:$Q$263,15)</f>
        <v>-</v>
      </c>
      <c r="E315" s="114" t="str">
        <f>VLOOKUP(A315,P_DIS!$B$32:$Q$263,14)</f>
        <v>-</v>
      </c>
      <c r="F315" s="114">
        <f>VLOOKUP(A315,P_DIS!$B$32:$Q$263,10)</f>
        <v>0</v>
      </c>
      <c r="G315" s="114" t="str">
        <f>VLOOKUP(A315,P_DIS!$B$32:$Q$263,11)</f>
        <v>-</v>
      </c>
      <c r="H315" s="114" t="str">
        <f>VLOOKUP(A315,P_DIS!$B$32:$Q$263,16)</f>
        <v>-</v>
      </c>
      <c r="I315" s="115" t="str">
        <f t="shared" si="106"/>
        <v/>
      </c>
      <c r="J315" s="116" t="str">
        <f t="shared" si="107"/>
        <v/>
      </c>
      <c r="K315" s="117" t="str">
        <f t="shared" si="108"/>
        <v/>
      </c>
      <c r="L315" s="118" t="str">
        <f t="shared" si="109"/>
        <v/>
      </c>
      <c r="M315" s="118" t="str">
        <f t="shared" si="110"/>
        <v/>
      </c>
      <c r="N315" s="118" t="str">
        <f t="shared" si="111"/>
        <v/>
      </c>
      <c r="O315" s="118" t="str">
        <f t="shared" si="112"/>
        <v/>
      </c>
      <c r="P315" s="118" t="str">
        <f t="shared" si="113"/>
        <v/>
      </c>
      <c r="Q315" s="118" t="str">
        <f t="shared" si="114"/>
        <v/>
      </c>
      <c r="R315" s="118" t="str">
        <f t="shared" si="115"/>
        <v/>
      </c>
      <c r="S315" s="118" t="str">
        <f t="shared" si="116"/>
        <v/>
      </c>
      <c r="T315" s="119" t="str">
        <f t="shared" si="99"/>
        <v/>
      </c>
      <c r="U315" s="119" t="str">
        <f t="shared" si="100"/>
        <v/>
      </c>
      <c r="V315" s="120" t="str">
        <f t="shared" si="101"/>
        <v/>
      </c>
      <c r="W315" s="120" t="str">
        <f t="shared" si="102"/>
        <v/>
      </c>
      <c r="X315" s="120" t="str">
        <f t="shared" si="129"/>
        <v/>
      </c>
      <c r="Y315" s="121" t="str">
        <f t="shared" si="130"/>
        <v/>
      </c>
      <c r="Z315" s="121" t="str">
        <f t="shared" si="131"/>
        <v/>
      </c>
      <c r="AA315" s="122">
        <v>1</v>
      </c>
      <c r="AB315" s="123">
        <v>1</v>
      </c>
      <c r="AC315" s="123" t="str">
        <f t="shared" si="117"/>
        <v/>
      </c>
      <c r="AD315" s="123" t="str">
        <f t="shared" si="118"/>
        <v/>
      </c>
      <c r="AE315" s="123" t="str">
        <f t="shared" si="119"/>
        <v/>
      </c>
      <c r="AF315" s="123" t="str">
        <f t="shared" si="120"/>
        <v/>
      </c>
      <c r="AG315" s="123" t="str">
        <f t="shared" si="121"/>
        <v/>
      </c>
      <c r="AH315" s="115" t="str">
        <f t="shared" si="122"/>
        <v/>
      </c>
      <c r="AI315" s="115" t="str">
        <f t="shared" si="123"/>
        <v/>
      </c>
      <c r="AJ315" s="115" t="str">
        <f t="shared" si="124"/>
        <v/>
      </c>
      <c r="AK315" s="115" t="str">
        <f t="shared" si="125"/>
        <v/>
      </c>
      <c r="AL315" s="115" t="str">
        <f t="shared" si="126"/>
        <v/>
      </c>
      <c r="AM315" s="115" t="str">
        <f t="shared" si="127"/>
        <v/>
      </c>
      <c r="AN315" s="115" t="str">
        <f t="shared" si="128"/>
        <v/>
      </c>
      <c r="AO315" s="3"/>
      <c r="AP315" s="3"/>
      <c r="AQ315" s="3"/>
      <c r="AR315" s="3"/>
      <c r="AS315" s="3"/>
      <c r="AT315" s="3"/>
      <c r="AU315" s="3"/>
      <c r="AZ315" s="1"/>
      <c r="BA315" s="1"/>
      <c r="BB315" s="1"/>
      <c r="BC315" s="1"/>
      <c r="BD315" s="1"/>
      <c r="BE315" s="1"/>
      <c r="BF315" s="1"/>
    </row>
    <row r="316" spans="1:58">
      <c r="A316" s="109">
        <v>192</v>
      </c>
      <c r="B316" s="114" t="str">
        <f>VLOOKUP(A316,P_DIS!$B$32:$Q$263,12)</f>
        <v>-</v>
      </c>
      <c r="C316" s="114" t="str">
        <f>VLOOKUP(A316,P_DIS!$B$32:$Q$263,13)</f>
        <v>-</v>
      </c>
      <c r="D316" s="114" t="str">
        <f>VLOOKUP(A316,P_DIS!$B$32:$Q$263,15)</f>
        <v>-</v>
      </c>
      <c r="E316" s="114" t="str">
        <f>VLOOKUP(A316,P_DIS!$B$32:$Q$263,14)</f>
        <v>-</v>
      </c>
      <c r="F316" s="114">
        <f>VLOOKUP(A316,P_DIS!$B$32:$Q$263,10)</f>
        <v>0</v>
      </c>
      <c r="G316" s="114" t="str">
        <f>VLOOKUP(A316,P_DIS!$B$32:$Q$263,11)</f>
        <v>-</v>
      </c>
      <c r="H316" s="114" t="str">
        <f>VLOOKUP(A316,P_DIS!$B$32:$Q$263,16)</f>
        <v>-</v>
      </c>
      <c r="I316" s="115" t="str">
        <f t="shared" si="106"/>
        <v/>
      </c>
      <c r="J316" s="116" t="str">
        <f t="shared" si="107"/>
        <v/>
      </c>
      <c r="K316" s="117" t="str">
        <f t="shared" si="108"/>
        <v/>
      </c>
      <c r="L316" s="118" t="str">
        <f t="shared" si="109"/>
        <v/>
      </c>
      <c r="M316" s="118" t="str">
        <f t="shared" si="110"/>
        <v/>
      </c>
      <c r="N316" s="118" t="str">
        <f t="shared" si="111"/>
        <v/>
      </c>
      <c r="O316" s="118" t="str">
        <f t="shared" si="112"/>
        <v/>
      </c>
      <c r="P316" s="118" t="str">
        <f t="shared" si="113"/>
        <v/>
      </c>
      <c r="Q316" s="118" t="str">
        <f t="shared" si="114"/>
        <v/>
      </c>
      <c r="R316" s="118" t="str">
        <f t="shared" si="115"/>
        <v/>
      </c>
      <c r="S316" s="118" t="str">
        <f t="shared" si="116"/>
        <v/>
      </c>
      <c r="T316" s="119" t="str">
        <f t="shared" si="99"/>
        <v/>
      </c>
      <c r="U316" s="119" t="str">
        <f t="shared" si="100"/>
        <v/>
      </c>
      <c r="V316" s="120" t="str">
        <f t="shared" si="101"/>
        <v/>
      </c>
      <c r="W316" s="120" t="str">
        <f t="shared" si="102"/>
        <v/>
      </c>
      <c r="X316" s="120" t="str">
        <f t="shared" si="129"/>
        <v/>
      </c>
      <c r="Y316" s="121" t="str">
        <f t="shared" si="130"/>
        <v/>
      </c>
      <c r="Z316" s="121" t="str">
        <f t="shared" si="131"/>
        <v/>
      </c>
      <c r="AA316" s="122">
        <v>1</v>
      </c>
      <c r="AB316" s="123">
        <v>1</v>
      </c>
      <c r="AC316" s="123" t="str">
        <f t="shared" si="117"/>
        <v/>
      </c>
      <c r="AD316" s="123" t="str">
        <f t="shared" si="118"/>
        <v/>
      </c>
      <c r="AE316" s="123" t="str">
        <f t="shared" si="119"/>
        <v/>
      </c>
      <c r="AF316" s="123" t="str">
        <f t="shared" si="120"/>
        <v/>
      </c>
      <c r="AG316" s="123" t="str">
        <f t="shared" si="121"/>
        <v/>
      </c>
      <c r="AH316" s="115" t="str">
        <f t="shared" si="122"/>
        <v/>
      </c>
      <c r="AI316" s="115" t="str">
        <f t="shared" si="123"/>
        <v/>
      </c>
      <c r="AJ316" s="115" t="str">
        <f t="shared" si="124"/>
        <v/>
      </c>
      <c r="AK316" s="115" t="str">
        <f t="shared" si="125"/>
        <v/>
      </c>
      <c r="AL316" s="115" t="str">
        <f t="shared" si="126"/>
        <v/>
      </c>
      <c r="AM316" s="115" t="str">
        <f t="shared" si="127"/>
        <v/>
      </c>
      <c r="AN316" s="115" t="str">
        <f t="shared" si="128"/>
        <v/>
      </c>
      <c r="AO316" s="3"/>
      <c r="AP316" s="3"/>
      <c r="AQ316" s="3"/>
      <c r="AR316" s="3"/>
      <c r="AS316" s="3"/>
      <c r="AT316" s="3"/>
      <c r="AU316" s="3"/>
      <c r="AZ316" s="1"/>
      <c r="BA316" s="1"/>
      <c r="BB316" s="1"/>
      <c r="BC316" s="1"/>
      <c r="BD316" s="1"/>
      <c r="BE316" s="1"/>
      <c r="BF316" s="1"/>
    </row>
    <row r="317" spans="1:58">
      <c r="A317" s="109">
        <v>193</v>
      </c>
      <c r="B317" s="114" t="str">
        <f>VLOOKUP(A317,P_DIS!$B$32:$Q$263,12)</f>
        <v>-</v>
      </c>
      <c r="C317" s="114" t="str">
        <f>VLOOKUP(A317,P_DIS!$B$32:$Q$263,13)</f>
        <v>-</v>
      </c>
      <c r="D317" s="114" t="str">
        <f>VLOOKUP(A317,P_DIS!$B$32:$Q$263,15)</f>
        <v>-</v>
      </c>
      <c r="E317" s="114" t="str">
        <f>VLOOKUP(A317,P_DIS!$B$32:$Q$263,14)</f>
        <v>-</v>
      </c>
      <c r="F317" s="114">
        <f>VLOOKUP(A317,P_DIS!$B$32:$Q$263,10)</f>
        <v>0</v>
      </c>
      <c r="G317" s="114" t="str">
        <f>VLOOKUP(A317,P_DIS!$B$32:$Q$263,11)</f>
        <v>-</v>
      </c>
      <c r="H317" s="114" t="str">
        <f>VLOOKUP(A317,P_DIS!$B$32:$Q$263,16)</f>
        <v>-</v>
      </c>
      <c r="I317" s="115" t="str">
        <f t="shared" si="106"/>
        <v/>
      </c>
      <c r="J317" s="116" t="str">
        <f t="shared" si="107"/>
        <v/>
      </c>
      <c r="K317" s="117" t="str">
        <f t="shared" si="108"/>
        <v/>
      </c>
      <c r="L317" s="118" t="str">
        <f t="shared" si="109"/>
        <v/>
      </c>
      <c r="M317" s="118" t="str">
        <f t="shared" si="110"/>
        <v/>
      </c>
      <c r="N317" s="118" t="str">
        <f t="shared" si="111"/>
        <v/>
      </c>
      <c r="O317" s="118" t="str">
        <f t="shared" si="112"/>
        <v/>
      </c>
      <c r="P317" s="118" t="str">
        <f t="shared" si="113"/>
        <v/>
      </c>
      <c r="Q317" s="118" t="str">
        <f t="shared" si="114"/>
        <v/>
      </c>
      <c r="R317" s="118" t="str">
        <f t="shared" si="115"/>
        <v/>
      </c>
      <c r="S317" s="118" t="str">
        <f t="shared" si="116"/>
        <v/>
      </c>
      <c r="T317" s="119" t="str">
        <f t="shared" ref="T317:T324" si="132">IF(H317="-","",$Q$28*POWER(H317,2)+$Q$29*H317+$Q$30)</f>
        <v/>
      </c>
      <c r="U317" s="119" t="str">
        <f t="shared" ref="U317:U324" si="133">IF(H317="-","",$Q$55*POWER(H317,2)+$Q$56*H317+$Q$57)</f>
        <v/>
      </c>
      <c r="V317" s="120" t="str">
        <f t="shared" ref="V317:V324" si="134">IF(H317="-","",$L$77*SQRT($L$78+((POWER(F317-$H$77,2)/$L$79))))</f>
        <v/>
      </c>
      <c r="W317" s="120" t="str">
        <f t="shared" ref="W317:W324" si="135">IF(H317="-","",$G$99)</f>
        <v/>
      </c>
      <c r="X317" s="120" t="str">
        <f t="shared" ref="X317:X324" si="136">IF(H317="-","",SQRT($D$88+($D$89*POWER(B317,2))))</f>
        <v/>
      </c>
      <c r="Y317" s="121" t="str">
        <f t="shared" ref="Y317:Y324" si="137">IF(H317="-","",$D$109)</f>
        <v/>
      </c>
      <c r="Z317" s="121" t="str">
        <f t="shared" ref="Z317:Z324" si="138">IF(H317="-","",$G$118)</f>
        <v/>
      </c>
      <c r="AA317" s="122">
        <v>1</v>
      </c>
      <c r="AB317" s="123">
        <v>1</v>
      </c>
      <c r="AC317" s="123" t="str">
        <f t="shared" si="117"/>
        <v/>
      </c>
      <c r="AD317" s="123" t="str">
        <f t="shared" si="118"/>
        <v/>
      </c>
      <c r="AE317" s="123" t="str">
        <f t="shared" si="119"/>
        <v/>
      </c>
      <c r="AF317" s="123" t="str">
        <f t="shared" si="120"/>
        <v/>
      </c>
      <c r="AG317" s="123" t="str">
        <f t="shared" si="121"/>
        <v/>
      </c>
      <c r="AH317" s="115" t="str">
        <f t="shared" si="122"/>
        <v/>
      </c>
      <c r="AI317" s="115" t="str">
        <f t="shared" si="123"/>
        <v/>
      </c>
      <c r="AJ317" s="115" t="str">
        <f t="shared" si="124"/>
        <v/>
      </c>
      <c r="AK317" s="115" t="str">
        <f t="shared" si="125"/>
        <v/>
      </c>
      <c r="AL317" s="115" t="str">
        <f t="shared" si="126"/>
        <v/>
      </c>
      <c r="AM317" s="115" t="str">
        <f t="shared" si="127"/>
        <v/>
      </c>
      <c r="AN317" s="115" t="str">
        <f t="shared" si="128"/>
        <v/>
      </c>
      <c r="AO317" s="3"/>
      <c r="AP317" s="3"/>
      <c r="AQ317" s="3"/>
      <c r="AR317" s="3"/>
      <c r="AS317" s="3"/>
      <c r="AT317" s="3"/>
      <c r="AU317" s="3"/>
      <c r="AZ317" s="1"/>
      <c r="BA317" s="1"/>
      <c r="BB317" s="1"/>
      <c r="BC317" s="1"/>
      <c r="BD317" s="1"/>
      <c r="BE317" s="1"/>
      <c r="BF317" s="1"/>
    </row>
    <row r="318" spans="1:58">
      <c r="A318" s="109">
        <v>194</v>
      </c>
      <c r="B318" s="114" t="str">
        <f>VLOOKUP(A318,P_DIS!$B$32:$Q$263,12)</f>
        <v>-</v>
      </c>
      <c r="C318" s="114" t="str">
        <f>VLOOKUP(A318,P_DIS!$B$32:$Q$263,13)</f>
        <v>-</v>
      </c>
      <c r="D318" s="114" t="str">
        <f>VLOOKUP(A318,P_DIS!$B$32:$Q$263,15)</f>
        <v>-</v>
      </c>
      <c r="E318" s="114" t="str">
        <f>VLOOKUP(A318,P_DIS!$B$32:$Q$263,14)</f>
        <v>-</v>
      </c>
      <c r="F318" s="114">
        <f>VLOOKUP(A318,P_DIS!$B$32:$Q$263,10)</f>
        <v>0</v>
      </c>
      <c r="G318" s="114" t="str">
        <f>VLOOKUP(A318,P_DIS!$B$32:$Q$263,11)</f>
        <v>-</v>
      </c>
      <c r="H318" s="114" t="str">
        <f>VLOOKUP(A318,P_DIS!$B$32:$Q$263,16)</f>
        <v>-</v>
      </c>
      <c r="I318" s="115" t="str">
        <f t="shared" ref="I318:I324" si="139">IF(H318="-","",SUM(AH318:AN318))</f>
        <v/>
      </c>
      <c r="J318" s="116" t="str">
        <f t="shared" ref="J318:J324" si="140">IF(H318="-","",SQRT(I318))</f>
        <v/>
      </c>
      <c r="K318" s="117" t="str">
        <f t="shared" ref="K318:K324" si="141">IF(H318="-","",J318*$K$122)</f>
        <v/>
      </c>
      <c r="L318" s="118" t="str">
        <f t="shared" ref="L318:L324" si="142">IF(H318="-","",AH318/I318)</f>
        <v/>
      </c>
      <c r="M318" s="118" t="str">
        <f t="shared" ref="M318:M324" si="143">IF(H318="-","",AI318/I318)</f>
        <v/>
      </c>
      <c r="N318" s="118" t="str">
        <f t="shared" ref="N318:N324" si="144">IF(H318="-","",AJ318/I318)</f>
        <v/>
      </c>
      <c r="O318" s="118" t="str">
        <f t="shared" ref="O318:O324" si="145">IF(H318="-","",AK318/I318)</f>
        <v/>
      </c>
      <c r="P318" s="118" t="str">
        <f t="shared" ref="P318:P324" si="146">IF(H318="-","",AL318/I318)</f>
        <v/>
      </c>
      <c r="Q318" s="118" t="str">
        <f t="shared" ref="Q318:Q324" si="147">IF(H318="-","",AM318/I318)</f>
        <v/>
      </c>
      <c r="R318" s="118" t="str">
        <f t="shared" ref="R318:R324" si="148">IF(H318="-","",AN318/I318)</f>
        <v/>
      </c>
      <c r="S318" s="118" t="str">
        <f t="shared" ref="S318:S324" si="149">IF(H318="-","",SUM(L318:R318))</f>
        <v/>
      </c>
      <c r="T318" s="119" t="str">
        <f t="shared" si="132"/>
        <v/>
      </c>
      <c r="U318" s="119" t="str">
        <f t="shared" si="133"/>
        <v/>
      </c>
      <c r="V318" s="120" t="str">
        <f t="shared" si="134"/>
        <v/>
      </c>
      <c r="W318" s="120" t="str">
        <f t="shared" si="135"/>
        <v/>
      </c>
      <c r="X318" s="120" t="str">
        <f t="shared" si="136"/>
        <v/>
      </c>
      <c r="Y318" s="121" t="str">
        <f t="shared" si="137"/>
        <v/>
      </c>
      <c r="Z318" s="121" t="str">
        <f t="shared" si="138"/>
        <v/>
      </c>
      <c r="AA318" s="122">
        <v>1</v>
      </c>
      <c r="AB318" s="123">
        <v>1</v>
      </c>
      <c r="AC318" s="123" t="str">
        <f t="shared" ref="AC318:AC324" si="150">IF(H318="-","",(C318/B318)*(E318/D318))</f>
        <v/>
      </c>
      <c r="AD318" s="123" t="str">
        <f t="shared" ref="AD318:AD324" si="151">IF(H318="-","",G318*(1/B318)*(E318/D318))</f>
        <v/>
      </c>
      <c r="AE318" s="123" t="str">
        <f t="shared" ref="AE318:AE324" si="152">IF(H318="-","",-G318*(C318/POWER(B318,2))*(E318/D318))</f>
        <v/>
      </c>
      <c r="AF318" s="123" t="str">
        <f t="shared" ref="AF318:AF324" si="153">IF(H318="-","",G318*(C318/B318)*(1/D318))</f>
        <v/>
      </c>
      <c r="AG318" s="123" t="str">
        <f t="shared" ref="AG318:AG324" si="154">IF(H318="-","",-G318*(C318/B318)*(E318/POWER(D318,2)))</f>
        <v/>
      </c>
      <c r="AH318" s="115" t="str">
        <f t="shared" ref="AH318:AH324" si="155">IF(H318="-","",POWER(AA318*T318,2))</f>
        <v/>
      </c>
      <c r="AI318" s="115" t="str">
        <f t="shared" ref="AI318:AI324" si="156">IF(H318="-","",POWER(AB318*U318,2))</f>
        <v/>
      </c>
      <c r="AJ318" s="115" t="str">
        <f t="shared" ref="AJ318:AJ324" si="157">IF(H318="-","",POWER(AC318*V318,2))</f>
        <v/>
      </c>
      <c r="AK318" s="115" t="str">
        <f t="shared" ref="AK318:AK324" si="158">IF(H318="-","",POWER(AD318*W318,2))</f>
        <v/>
      </c>
      <c r="AL318" s="115" t="str">
        <f t="shared" ref="AL318:AL324" si="159">IF(H318="-","",POWER(AE318*X318,2))</f>
        <v/>
      </c>
      <c r="AM318" s="115" t="str">
        <f t="shared" ref="AM318:AM324" si="160">IF(H318="-","",POWER(AF318*Y318,2))</f>
        <v/>
      </c>
      <c r="AN318" s="115" t="str">
        <f t="shared" ref="AN318:AN324" si="161">IF(H318="-","",POWER(AG318*Z318,2))</f>
        <v/>
      </c>
      <c r="AO318" s="3"/>
      <c r="AP318" s="3"/>
      <c r="AQ318" s="3"/>
      <c r="AR318" s="3"/>
      <c r="AS318" s="3"/>
      <c r="AT318" s="3"/>
      <c r="AU318" s="3"/>
      <c r="AZ318" s="1"/>
      <c r="BA318" s="1"/>
      <c r="BB318" s="1"/>
      <c r="BC318" s="1"/>
      <c r="BD318" s="1"/>
      <c r="BE318" s="1"/>
      <c r="BF318" s="1"/>
    </row>
    <row r="319" spans="1:58">
      <c r="A319" s="109">
        <v>195</v>
      </c>
      <c r="B319" s="114" t="str">
        <f>VLOOKUP(A319,P_DIS!$B$32:$Q$263,12)</f>
        <v>-</v>
      </c>
      <c r="C319" s="114" t="str">
        <f>VLOOKUP(A319,P_DIS!$B$32:$Q$263,13)</f>
        <v>-</v>
      </c>
      <c r="D319" s="114" t="str">
        <f>VLOOKUP(A319,P_DIS!$B$32:$Q$263,15)</f>
        <v>-</v>
      </c>
      <c r="E319" s="114" t="str">
        <f>VLOOKUP(A319,P_DIS!$B$32:$Q$263,14)</f>
        <v>-</v>
      </c>
      <c r="F319" s="114">
        <f>VLOOKUP(A319,P_DIS!$B$32:$Q$263,10)</f>
        <v>0</v>
      </c>
      <c r="G319" s="114" t="str">
        <f>VLOOKUP(A319,P_DIS!$B$32:$Q$263,11)</f>
        <v>-</v>
      </c>
      <c r="H319" s="114" t="str">
        <f>VLOOKUP(A319,P_DIS!$B$32:$Q$263,16)</f>
        <v>-</v>
      </c>
      <c r="I319" s="115" t="str">
        <f t="shared" si="139"/>
        <v/>
      </c>
      <c r="J319" s="116" t="str">
        <f t="shared" si="140"/>
        <v/>
      </c>
      <c r="K319" s="117" t="str">
        <f t="shared" si="141"/>
        <v/>
      </c>
      <c r="L319" s="118" t="str">
        <f t="shared" si="142"/>
        <v/>
      </c>
      <c r="M319" s="118" t="str">
        <f t="shared" si="143"/>
        <v/>
      </c>
      <c r="N319" s="118" t="str">
        <f t="shared" si="144"/>
        <v/>
      </c>
      <c r="O319" s="118" t="str">
        <f t="shared" si="145"/>
        <v/>
      </c>
      <c r="P319" s="118" t="str">
        <f t="shared" si="146"/>
        <v/>
      </c>
      <c r="Q319" s="118" t="str">
        <f t="shared" si="147"/>
        <v/>
      </c>
      <c r="R319" s="118" t="str">
        <f t="shared" si="148"/>
        <v/>
      </c>
      <c r="S319" s="118" t="str">
        <f t="shared" si="149"/>
        <v/>
      </c>
      <c r="T319" s="119" t="str">
        <f t="shared" si="132"/>
        <v/>
      </c>
      <c r="U319" s="119" t="str">
        <f t="shared" si="133"/>
        <v/>
      </c>
      <c r="V319" s="120" t="str">
        <f t="shared" si="134"/>
        <v/>
      </c>
      <c r="W319" s="120" t="str">
        <f t="shared" si="135"/>
        <v/>
      </c>
      <c r="X319" s="120" t="str">
        <f t="shared" si="136"/>
        <v/>
      </c>
      <c r="Y319" s="121" t="str">
        <f t="shared" si="137"/>
        <v/>
      </c>
      <c r="Z319" s="121" t="str">
        <f t="shared" si="138"/>
        <v/>
      </c>
      <c r="AA319" s="122">
        <v>1</v>
      </c>
      <c r="AB319" s="123">
        <v>1</v>
      </c>
      <c r="AC319" s="123" t="str">
        <f t="shared" si="150"/>
        <v/>
      </c>
      <c r="AD319" s="123" t="str">
        <f t="shared" si="151"/>
        <v/>
      </c>
      <c r="AE319" s="123" t="str">
        <f t="shared" si="152"/>
        <v/>
      </c>
      <c r="AF319" s="123" t="str">
        <f t="shared" si="153"/>
        <v/>
      </c>
      <c r="AG319" s="123" t="str">
        <f t="shared" si="154"/>
        <v/>
      </c>
      <c r="AH319" s="115" t="str">
        <f t="shared" si="155"/>
        <v/>
      </c>
      <c r="AI319" s="115" t="str">
        <f t="shared" si="156"/>
        <v/>
      </c>
      <c r="AJ319" s="115" t="str">
        <f t="shared" si="157"/>
        <v/>
      </c>
      <c r="AK319" s="115" t="str">
        <f t="shared" si="158"/>
        <v/>
      </c>
      <c r="AL319" s="115" t="str">
        <f t="shared" si="159"/>
        <v/>
      </c>
      <c r="AM319" s="115" t="str">
        <f t="shared" si="160"/>
        <v/>
      </c>
      <c r="AN319" s="115" t="str">
        <f t="shared" si="161"/>
        <v/>
      </c>
      <c r="AO319" s="3"/>
      <c r="AP319" s="3"/>
      <c r="AQ319" s="3"/>
      <c r="AR319" s="3"/>
      <c r="AS319" s="3"/>
      <c r="AT319" s="3"/>
      <c r="AU319" s="3"/>
      <c r="AZ319" s="1"/>
      <c r="BA319" s="1"/>
      <c r="BB319" s="1"/>
      <c r="BC319" s="1"/>
      <c r="BD319" s="1"/>
      <c r="BE319" s="1"/>
      <c r="BF319" s="1"/>
    </row>
    <row r="320" spans="1:58">
      <c r="A320" s="109">
        <v>196</v>
      </c>
      <c r="B320" s="114" t="str">
        <f>VLOOKUP(A320,P_DIS!$B$32:$Q$263,12)</f>
        <v>-</v>
      </c>
      <c r="C320" s="114" t="str">
        <f>VLOOKUP(A320,P_DIS!$B$32:$Q$263,13)</f>
        <v>-</v>
      </c>
      <c r="D320" s="114" t="str">
        <f>VLOOKUP(A320,P_DIS!$B$32:$Q$263,15)</f>
        <v>-</v>
      </c>
      <c r="E320" s="114" t="str">
        <f>VLOOKUP(A320,P_DIS!$B$32:$Q$263,14)</f>
        <v>-</v>
      </c>
      <c r="F320" s="114">
        <f>VLOOKUP(A320,P_DIS!$B$32:$Q$263,10)</f>
        <v>0</v>
      </c>
      <c r="G320" s="114" t="str">
        <f>VLOOKUP(A320,P_DIS!$B$32:$Q$263,11)</f>
        <v>-</v>
      </c>
      <c r="H320" s="114" t="str">
        <f>VLOOKUP(A320,P_DIS!$B$32:$Q$263,16)</f>
        <v>-</v>
      </c>
      <c r="I320" s="115" t="str">
        <f t="shared" si="139"/>
        <v/>
      </c>
      <c r="J320" s="116" t="str">
        <f t="shared" si="140"/>
        <v/>
      </c>
      <c r="K320" s="117" t="str">
        <f t="shared" si="141"/>
        <v/>
      </c>
      <c r="L320" s="118" t="str">
        <f t="shared" si="142"/>
        <v/>
      </c>
      <c r="M320" s="118" t="str">
        <f t="shared" si="143"/>
        <v/>
      </c>
      <c r="N320" s="118" t="str">
        <f t="shared" si="144"/>
        <v/>
      </c>
      <c r="O320" s="118" t="str">
        <f t="shared" si="145"/>
        <v/>
      </c>
      <c r="P320" s="118" t="str">
        <f t="shared" si="146"/>
        <v/>
      </c>
      <c r="Q320" s="118" t="str">
        <f t="shared" si="147"/>
        <v/>
      </c>
      <c r="R320" s="118" t="str">
        <f t="shared" si="148"/>
        <v/>
      </c>
      <c r="S320" s="118" t="str">
        <f t="shared" si="149"/>
        <v/>
      </c>
      <c r="T320" s="119" t="str">
        <f t="shared" si="132"/>
        <v/>
      </c>
      <c r="U320" s="119" t="str">
        <f t="shared" si="133"/>
        <v/>
      </c>
      <c r="V320" s="120" t="str">
        <f t="shared" si="134"/>
        <v/>
      </c>
      <c r="W320" s="120" t="str">
        <f t="shared" si="135"/>
        <v/>
      </c>
      <c r="X320" s="120" t="str">
        <f t="shared" si="136"/>
        <v/>
      </c>
      <c r="Y320" s="121" t="str">
        <f t="shared" si="137"/>
        <v/>
      </c>
      <c r="Z320" s="121" t="str">
        <f t="shared" si="138"/>
        <v/>
      </c>
      <c r="AA320" s="122">
        <v>1</v>
      </c>
      <c r="AB320" s="123">
        <v>1</v>
      </c>
      <c r="AC320" s="123" t="str">
        <f t="shared" si="150"/>
        <v/>
      </c>
      <c r="AD320" s="123" t="str">
        <f t="shared" si="151"/>
        <v/>
      </c>
      <c r="AE320" s="123" t="str">
        <f t="shared" si="152"/>
        <v/>
      </c>
      <c r="AF320" s="123" t="str">
        <f t="shared" si="153"/>
        <v/>
      </c>
      <c r="AG320" s="123" t="str">
        <f t="shared" si="154"/>
        <v/>
      </c>
      <c r="AH320" s="115" t="str">
        <f t="shared" si="155"/>
        <v/>
      </c>
      <c r="AI320" s="115" t="str">
        <f t="shared" si="156"/>
        <v/>
      </c>
      <c r="AJ320" s="115" t="str">
        <f t="shared" si="157"/>
        <v/>
      </c>
      <c r="AK320" s="115" t="str">
        <f t="shared" si="158"/>
        <v/>
      </c>
      <c r="AL320" s="115" t="str">
        <f t="shared" si="159"/>
        <v/>
      </c>
      <c r="AM320" s="115" t="str">
        <f t="shared" si="160"/>
        <v/>
      </c>
      <c r="AN320" s="115" t="str">
        <f t="shared" si="161"/>
        <v/>
      </c>
      <c r="AO320" s="3"/>
      <c r="AP320" s="3"/>
      <c r="AQ320" s="3"/>
      <c r="AR320" s="3"/>
      <c r="AS320" s="3"/>
      <c r="AT320" s="3"/>
      <c r="AU320" s="3"/>
      <c r="AZ320" s="1"/>
      <c r="BA320" s="1"/>
      <c r="BB320" s="1"/>
      <c r="BC320" s="1"/>
      <c r="BD320" s="1"/>
      <c r="BE320" s="1"/>
      <c r="BF320" s="1"/>
    </row>
    <row r="321" spans="1:68">
      <c r="A321" s="109">
        <v>197</v>
      </c>
      <c r="B321" s="114" t="str">
        <f>VLOOKUP(A321,P_DIS!$B$32:$Q$263,12)</f>
        <v>-</v>
      </c>
      <c r="C321" s="114" t="str">
        <f>VLOOKUP(A321,P_DIS!$B$32:$Q$263,13)</f>
        <v>-</v>
      </c>
      <c r="D321" s="114" t="str">
        <f>VLOOKUP(A321,P_DIS!$B$32:$Q$263,15)</f>
        <v>-</v>
      </c>
      <c r="E321" s="114" t="str">
        <f>VLOOKUP(A321,P_DIS!$B$32:$Q$263,14)</f>
        <v>-</v>
      </c>
      <c r="F321" s="114">
        <f>VLOOKUP(A321,P_DIS!$B$32:$Q$263,10)</f>
        <v>0</v>
      </c>
      <c r="G321" s="114" t="str">
        <f>VLOOKUP(A321,P_DIS!$B$32:$Q$263,11)</f>
        <v>-</v>
      </c>
      <c r="H321" s="114" t="str">
        <f>VLOOKUP(A321,P_DIS!$B$32:$Q$263,16)</f>
        <v>-</v>
      </c>
      <c r="I321" s="115" t="str">
        <f t="shared" si="139"/>
        <v/>
      </c>
      <c r="J321" s="116" t="str">
        <f t="shared" si="140"/>
        <v/>
      </c>
      <c r="K321" s="117" t="str">
        <f t="shared" si="141"/>
        <v/>
      </c>
      <c r="L321" s="118" t="str">
        <f t="shared" si="142"/>
        <v/>
      </c>
      <c r="M321" s="118" t="str">
        <f t="shared" si="143"/>
        <v/>
      </c>
      <c r="N321" s="118" t="str">
        <f t="shared" si="144"/>
        <v/>
      </c>
      <c r="O321" s="118" t="str">
        <f t="shared" si="145"/>
        <v/>
      </c>
      <c r="P321" s="118" t="str">
        <f t="shared" si="146"/>
        <v/>
      </c>
      <c r="Q321" s="118" t="str">
        <f t="shared" si="147"/>
        <v/>
      </c>
      <c r="R321" s="118" t="str">
        <f t="shared" si="148"/>
        <v/>
      </c>
      <c r="S321" s="118" t="str">
        <f t="shared" si="149"/>
        <v/>
      </c>
      <c r="T321" s="119" t="str">
        <f t="shared" si="132"/>
        <v/>
      </c>
      <c r="U321" s="119" t="str">
        <f t="shared" si="133"/>
        <v/>
      </c>
      <c r="V321" s="120" t="str">
        <f t="shared" si="134"/>
        <v/>
      </c>
      <c r="W321" s="120" t="str">
        <f t="shared" si="135"/>
        <v/>
      </c>
      <c r="X321" s="120" t="str">
        <f t="shared" si="136"/>
        <v/>
      </c>
      <c r="Y321" s="121" t="str">
        <f t="shared" si="137"/>
        <v/>
      </c>
      <c r="Z321" s="121" t="str">
        <f t="shared" si="138"/>
        <v/>
      </c>
      <c r="AA321" s="122">
        <v>1</v>
      </c>
      <c r="AB321" s="123">
        <v>1</v>
      </c>
      <c r="AC321" s="123" t="str">
        <f t="shared" si="150"/>
        <v/>
      </c>
      <c r="AD321" s="123" t="str">
        <f t="shared" si="151"/>
        <v/>
      </c>
      <c r="AE321" s="123" t="str">
        <f t="shared" si="152"/>
        <v/>
      </c>
      <c r="AF321" s="123" t="str">
        <f t="shared" si="153"/>
        <v/>
      </c>
      <c r="AG321" s="123" t="str">
        <f t="shared" si="154"/>
        <v/>
      </c>
      <c r="AH321" s="115" t="str">
        <f t="shared" si="155"/>
        <v/>
      </c>
      <c r="AI321" s="115" t="str">
        <f t="shared" si="156"/>
        <v/>
      </c>
      <c r="AJ321" s="115" t="str">
        <f t="shared" si="157"/>
        <v/>
      </c>
      <c r="AK321" s="115" t="str">
        <f t="shared" si="158"/>
        <v/>
      </c>
      <c r="AL321" s="115" t="str">
        <f t="shared" si="159"/>
        <v/>
      </c>
      <c r="AM321" s="115" t="str">
        <f t="shared" si="160"/>
        <v/>
      </c>
      <c r="AN321" s="115" t="str">
        <f t="shared" si="161"/>
        <v/>
      </c>
      <c r="AO321" s="3"/>
      <c r="AP321" s="3"/>
      <c r="AQ321" s="3"/>
      <c r="AR321" s="3"/>
      <c r="AS321" s="3"/>
      <c r="AT321" s="3"/>
      <c r="AU321" s="3"/>
      <c r="AZ321" s="1"/>
      <c r="BA321" s="1"/>
      <c r="BB321" s="1"/>
      <c r="BC321" s="1"/>
      <c r="BD321" s="1"/>
      <c r="BE321" s="1"/>
      <c r="BF321" s="1"/>
    </row>
    <row r="322" spans="1:68">
      <c r="A322" s="109">
        <v>198</v>
      </c>
      <c r="B322" s="114" t="str">
        <f>VLOOKUP(A322,P_DIS!$B$32:$Q$263,12)</f>
        <v>-</v>
      </c>
      <c r="C322" s="114" t="str">
        <f>VLOOKUP(A322,P_DIS!$B$32:$Q$263,13)</f>
        <v>-</v>
      </c>
      <c r="D322" s="114" t="str">
        <f>VLOOKUP(A322,P_DIS!$B$32:$Q$263,15)</f>
        <v>-</v>
      </c>
      <c r="E322" s="114" t="str">
        <f>VLOOKUP(A322,P_DIS!$B$32:$Q$263,14)</f>
        <v>-</v>
      </c>
      <c r="F322" s="114">
        <f>VLOOKUP(A322,P_DIS!$B$32:$Q$263,10)</f>
        <v>0</v>
      </c>
      <c r="G322" s="114" t="str">
        <f>VLOOKUP(A322,P_DIS!$B$32:$Q$263,11)</f>
        <v>-</v>
      </c>
      <c r="H322" s="114" t="str">
        <f>VLOOKUP(A322,P_DIS!$B$32:$Q$263,16)</f>
        <v>-</v>
      </c>
      <c r="I322" s="115" t="str">
        <f t="shared" si="139"/>
        <v/>
      </c>
      <c r="J322" s="116" t="str">
        <f t="shared" si="140"/>
        <v/>
      </c>
      <c r="K322" s="117" t="str">
        <f t="shared" si="141"/>
        <v/>
      </c>
      <c r="L322" s="118" t="str">
        <f t="shared" si="142"/>
        <v/>
      </c>
      <c r="M322" s="118" t="str">
        <f t="shared" si="143"/>
        <v/>
      </c>
      <c r="N322" s="118" t="str">
        <f t="shared" si="144"/>
        <v/>
      </c>
      <c r="O322" s="118" t="str">
        <f t="shared" si="145"/>
        <v/>
      </c>
      <c r="P322" s="118" t="str">
        <f t="shared" si="146"/>
        <v/>
      </c>
      <c r="Q322" s="118" t="str">
        <f t="shared" si="147"/>
        <v/>
      </c>
      <c r="R322" s="118" t="str">
        <f t="shared" si="148"/>
        <v/>
      </c>
      <c r="S322" s="118" t="str">
        <f t="shared" si="149"/>
        <v/>
      </c>
      <c r="T322" s="119" t="str">
        <f t="shared" si="132"/>
        <v/>
      </c>
      <c r="U322" s="119" t="str">
        <f t="shared" si="133"/>
        <v/>
      </c>
      <c r="V322" s="120" t="str">
        <f t="shared" si="134"/>
        <v/>
      </c>
      <c r="W322" s="120" t="str">
        <f t="shared" si="135"/>
        <v/>
      </c>
      <c r="X322" s="120" t="str">
        <f t="shared" si="136"/>
        <v/>
      </c>
      <c r="Y322" s="121" t="str">
        <f t="shared" si="137"/>
        <v/>
      </c>
      <c r="Z322" s="121" t="str">
        <f t="shared" si="138"/>
        <v/>
      </c>
      <c r="AA322" s="122">
        <v>1</v>
      </c>
      <c r="AB322" s="123">
        <v>1</v>
      </c>
      <c r="AC322" s="123" t="str">
        <f t="shared" si="150"/>
        <v/>
      </c>
      <c r="AD322" s="123" t="str">
        <f t="shared" si="151"/>
        <v/>
      </c>
      <c r="AE322" s="123" t="str">
        <f t="shared" si="152"/>
        <v/>
      </c>
      <c r="AF322" s="123" t="str">
        <f t="shared" si="153"/>
        <v/>
      </c>
      <c r="AG322" s="123" t="str">
        <f t="shared" si="154"/>
        <v/>
      </c>
      <c r="AH322" s="115" t="str">
        <f t="shared" si="155"/>
        <v/>
      </c>
      <c r="AI322" s="115" t="str">
        <f t="shared" si="156"/>
        <v/>
      </c>
      <c r="AJ322" s="115" t="str">
        <f t="shared" si="157"/>
        <v/>
      </c>
      <c r="AK322" s="115" t="str">
        <f t="shared" si="158"/>
        <v/>
      </c>
      <c r="AL322" s="115" t="str">
        <f t="shared" si="159"/>
        <v/>
      </c>
      <c r="AM322" s="115" t="str">
        <f t="shared" si="160"/>
        <v/>
      </c>
      <c r="AN322" s="115" t="str">
        <f t="shared" si="161"/>
        <v/>
      </c>
      <c r="AO322" s="3"/>
      <c r="AP322" s="3"/>
      <c r="AQ322" s="3"/>
      <c r="AR322" s="3"/>
      <c r="AS322" s="3"/>
      <c r="AT322" s="3"/>
      <c r="AU322" s="3"/>
      <c r="AZ322" s="1"/>
      <c r="BA322" s="1"/>
      <c r="BB322" s="1"/>
      <c r="BC322" s="1"/>
      <c r="BD322" s="1"/>
      <c r="BE322" s="1"/>
      <c r="BF322" s="1"/>
    </row>
    <row r="323" spans="1:68">
      <c r="A323" s="109">
        <v>199</v>
      </c>
      <c r="B323" s="114" t="str">
        <f>VLOOKUP(A323,P_DIS!$B$32:$Q$263,12)</f>
        <v>-</v>
      </c>
      <c r="C323" s="114" t="str">
        <f>VLOOKUP(A323,P_DIS!$B$32:$Q$263,13)</f>
        <v>-</v>
      </c>
      <c r="D323" s="114" t="str">
        <f>VLOOKUP(A323,P_DIS!$B$32:$Q$263,15)</f>
        <v>-</v>
      </c>
      <c r="E323" s="114" t="str">
        <f>VLOOKUP(A323,P_DIS!$B$32:$Q$263,14)</f>
        <v>-</v>
      </c>
      <c r="F323" s="114">
        <f>VLOOKUP(A323,P_DIS!$B$32:$Q$263,10)</f>
        <v>0</v>
      </c>
      <c r="G323" s="114" t="str">
        <f>VLOOKUP(A323,P_DIS!$B$32:$Q$263,11)</f>
        <v>-</v>
      </c>
      <c r="H323" s="114" t="str">
        <f>VLOOKUP(A323,P_DIS!$B$32:$Q$263,16)</f>
        <v>-</v>
      </c>
      <c r="I323" s="115" t="str">
        <f t="shared" si="139"/>
        <v/>
      </c>
      <c r="J323" s="116" t="str">
        <f t="shared" si="140"/>
        <v/>
      </c>
      <c r="K323" s="117" t="str">
        <f t="shared" si="141"/>
        <v/>
      </c>
      <c r="L323" s="118" t="str">
        <f t="shared" si="142"/>
        <v/>
      </c>
      <c r="M323" s="118" t="str">
        <f t="shared" si="143"/>
        <v/>
      </c>
      <c r="N323" s="118" t="str">
        <f t="shared" si="144"/>
        <v/>
      </c>
      <c r="O323" s="118" t="str">
        <f t="shared" si="145"/>
        <v/>
      </c>
      <c r="P323" s="118" t="str">
        <f t="shared" si="146"/>
        <v/>
      </c>
      <c r="Q323" s="118" t="str">
        <f t="shared" si="147"/>
        <v/>
      </c>
      <c r="R323" s="118" t="str">
        <f t="shared" si="148"/>
        <v/>
      </c>
      <c r="S323" s="118" t="str">
        <f t="shared" si="149"/>
        <v/>
      </c>
      <c r="T323" s="119" t="str">
        <f t="shared" si="132"/>
        <v/>
      </c>
      <c r="U323" s="119" t="str">
        <f t="shared" si="133"/>
        <v/>
      </c>
      <c r="V323" s="120" t="str">
        <f t="shared" si="134"/>
        <v/>
      </c>
      <c r="W323" s="120" t="str">
        <f t="shared" si="135"/>
        <v/>
      </c>
      <c r="X323" s="120" t="str">
        <f t="shared" si="136"/>
        <v/>
      </c>
      <c r="Y323" s="121" t="str">
        <f t="shared" si="137"/>
        <v/>
      </c>
      <c r="Z323" s="121" t="str">
        <f t="shared" si="138"/>
        <v/>
      </c>
      <c r="AA323" s="122">
        <v>1</v>
      </c>
      <c r="AB323" s="123">
        <v>1</v>
      </c>
      <c r="AC323" s="123" t="str">
        <f t="shared" si="150"/>
        <v/>
      </c>
      <c r="AD323" s="123" t="str">
        <f t="shared" si="151"/>
        <v/>
      </c>
      <c r="AE323" s="123" t="str">
        <f t="shared" si="152"/>
        <v/>
      </c>
      <c r="AF323" s="123" t="str">
        <f t="shared" si="153"/>
        <v/>
      </c>
      <c r="AG323" s="123" t="str">
        <f t="shared" si="154"/>
        <v/>
      </c>
      <c r="AH323" s="115" t="str">
        <f t="shared" si="155"/>
        <v/>
      </c>
      <c r="AI323" s="115" t="str">
        <f t="shared" si="156"/>
        <v/>
      </c>
      <c r="AJ323" s="115" t="str">
        <f t="shared" si="157"/>
        <v/>
      </c>
      <c r="AK323" s="115" t="str">
        <f t="shared" si="158"/>
        <v/>
      </c>
      <c r="AL323" s="115" t="str">
        <f t="shared" si="159"/>
        <v/>
      </c>
      <c r="AM323" s="115" t="str">
        <f t="shared" si="160"/>
        <v/>
      </c>
      <c r="AN323" s="115" t="str">
        <f t="shared" si="161"/>
        <v/>
      </c>
      <c r="AO323" s="3"/>
      <c r="AP323" s="3"/>
      <c r="AQ323" s="3"/>
      <c r="AR323" s="3"/>
      <c r="AS323" s="3"/>
      <c r="AT323" s="3"/>
      <c r="AU323" s="3"/>
      <c r="AZ323" s="1"/>
      <c r="BA323" s="1"/>
      <c r="BB323" s="1"/>
      <c r="BC323" s="1"/>
      <c r="BD323" s="1"/>
      <c r="BE323" s="1"/>
      <c r="BF323" s="1"/>
    </row>
    <row r="324" spans="1:68">
      <c r="A324" s="109">
        <v>200</v>
      </c>
      <c r="B324" s="114" t="str">
        <f>VLOOKUP(A324,P_DIS!$B$32:$Q$263,12)</f>
        <v>-</v>
      </c>
      <c r="C324" s="114" t="str">
        <f>VLOOKUP(A324,P_DIS!$B$32:$Q$263,13)</f>
        <v>-</v>
      </c>
      <c r="D324" s="114" t="str">
        <f>VLOOKUP(A324,P_DIS!$B$32:$Q$263,15)</f>
        <v>-</v>
      </c>
      <c r="E324" s="114" t="str">
        <f>VLOOKUP(A324,P_DIS!$B$32:$Q$263,14)</f>
        <v>-</v>
      </c>
      <c r="F324" s="114">
        <f>VLOOKUP(A324,P_DIS!$B$32:$Q$263,10)</f>
        <v>0</v>
      </c>
      <c r="G324" s="114" t="str">
        <f>VLOOKUP(A324,P_DIS!$B$32:$Q$263,11)</f>
        <v>-</v>
      </c>
      <c r="H324" s="114" t="str">
        <f>VLOOKUP(A324,P_DIS!$B$32:$Q$263,16)</f>
        <v>-</v>
      </c>
      <c r="I324" s="115" t="str">
        <f t="shared" si="139"/>
        <v/>
      </c>
      <c r="J324" s="116" t="str">
        <f t="shared" si="140"/>
        <v/>
      </c>
      <c r="K324" s="117" t="str">
        <f t="shared" si="141"/>
        <v/>
      </c>
      <c r="L324" s="118" t="str">
        <f t="shared" si="142"/>
        <v/>
      </c>
      <c r="M324" s="118" t="str">
        <f t="shared" si="143"/>
        <v/>
      </c>
      <c r="N324" s="118" t="str">
        <f t="shared" si="144"/>
        <v/>
      </c>
      <c r="O324" s="118" t="str">
        <f t="shared" si="145"/>
        <v/>
      </c>
      <c r="P324" s="118" t="str">
        <f t="shared" si="146"/>
        <v/>
      </c>
      <c r="Q324" s="118" t="str">
        <f t="shared" si="147"/>
        <v/>
      </c>
      <c r="R324" s="118" t="str">
        <f t="shared" si="148"/>
        <v/>
      </c>
      <c r="S324" s="118" t="str">
        <f t="shared" si="149"/>
        <v/>
      </c>
      <c r="T324" s="119" t="str">
        <f t="shared" si="132"/>
        <v/>
      </c>
      <c r="U324" s="119" t="str">
        <f t="shared" si="133"/>
        <v/>
      </c>
      <c r="V324" s="120" t="str">
        <f t="shared" si="134"/>
        <v/>
      </c>
      <c r="W324" s="120" t="str">
        <f t="shared" si="135"/>
        <v/>
      </c>
      <c r="X324" s="120" t="str">
        <f t="shared" si="136"/>
        <v/>
      </c>
      <c r="Y324" s="121" t="str">
        <f t="shared" si="137"/>
        <v/>
      </c>
      <c r="Z324" s="121" t="str">
        <f t="shared" si="138"/>
        <v/>
      </c>
      <c r="AA324" s="122">
        <v>1</v>
      </c>
      <c r="AB324" s="123">
        <v>1</v>
      </c>
      <c r="AC324" s="123" t="str">
        <f t="shared" si="150"/>
        <v/>
      </c>
      <c r="AD324" s="123" t="str">
        <f t="shared" si="151"/>
        <v/>
      </c>
      <c r="AE324" s="123" t="str">
        <f t="shared" si="152"/>
        <v/>
      </c>
      <c r="AF324" s="123" t="str">
        <f t="shared" si="153"/>
        <v/>
      </c>
      <c r="AG324" s="123" t="str">
        <f t="shared" si="154"/>
        <v/>
      </c>
      <c r="AH324" s="115" t="str">
        <f t="shared" si="155"/>
        <v/>
      </c>
      <c r="AI324" s="115" t="str">
        <f t="shared" si="156"/>
        <v/>
      </c>
      <c r="AJ324" s="115" t="str">
        <f t="shared" si="157"/>
        <v/>
      </c>
      <c r="AK324" s="115" t="str">
        <f t="shared" si="158"/>
        <v/>
      </c>
      <c r="AL324" s="115" t="str">
        <f t="shared" si="159"/>
        <v/>
      </c>
      <c r="AM324" s="115" t="str">
        <f t="shared" si="160"/>
        <v/>
      </c>
      <c r="AN324" s="115" t="str">
        <f t="shared" si="161"/>
        <v/>
      </c>
      <c r="AO324" s="3"/>
      <c r="AP324" s="3"/>
      <c r="AQ324" s="3"/>
      <c r="AR324" s="3"/>
      <c r="AS324" s="3"/>
      <c r="AT324" s="3"/>
      <c r="AU324" s="3"/>
      <c r="AZ324" s="1"/>
      <c r="BA324" s="1"/>
      <c r="BB324" s="1"/>
      <c r="BC324" s="1"/>
      <c r="BD324" s="1"/>
      <c r="BE324" s="1"/>
      <c r="BF324" s="1"/>
      <c r="BO324" s="30"/>
      <c r="BP324" s="1"/>
    </row>
  </sheetData>
  <sheetProtection algorithmName="SHA-512" hashValue="pLkza8YlDw1R4HMmuNnwsnpDnXb5lafrl0a92wpR2D1MV6zZ51dlMet7CEI6EmawINu9GZWmF4fEyVXXWyVKPw==" saltValue="suNyKl1+gdWzqR5ktKg27Q==" spinCount="100000" sheet="1" objects="1" scenarios="1" selectLockedCells="1" selectUnlockedCells="1"/>
  <protectedRanges>
    <protectedRange sqref="C22:E33 H22:J33 C50:E50 H50:J50 M50:O50 M22:O33" name="resultados_2_1"/>
    <protectedRange sqref="C49 H11:J20 M11:O20 C38:E48 H49 H38:J48 M49 M38:O48 C11:E20" name="resultados_2_1_3"/>
  </protectedRanges>
  <mergeCells count="86">
    <mergeCell ref="A6:Q6"/>
    <mergeCell ref="B7:AK7"/>
    <mergeCell ref="B21:E21"/>
    <mergeCell ref="G21:J21"/>
    <mergeCell ref="L21:O21"/>
    <mergeCell ref="C32:E32"/>
    <mergeCell ref="H32:J32"/>
    <mergeCell ref="M32:O32"/>
    <mergeCell ref="C33:E33"/>
    <mergeCell ref="H33:J33"/>
    <mergeCell ref="M33:O33"/>
    <mergeCell ref="B34:AK34"/>
    <mergeCell ref="B62:D62"/>
    <mergeCell ref="G62:I62"/>
    <mergeCell ref="L62:N62"/>
    <mergeCell ref="B63:D63"/>
    <mergeCell ref="G63:I63"/>
    <mergeCell ref="L63:N63"/>
    <mergeCell ref="B64:D64"/>
    <mergeCell ref="G64:I64"/>
    <mergeCell ref="L64:N64"/>
    <mergeCell ref="B65:D65"/>
    <mergeCell ref="G65:I65"/>
    <mergeCell ref="L65:N65"/>
    <mergeCell ref="F80:G80"/>
    <mergeCell ref="B67:D67"/>
    <mergeCell ref="G67:I67"/>
    <mergeCell ref="L67:N67"/>
    <mergeCell ref="B69:AK69"/>
    <mergeCell ref="B72:C72"/>
    <mergeCell ref="D72:E72"/>
    <mergeCell ref="F72:G72"/>
    <mergeCell ref="H72:I72"/>
    <mergeCell ref="F75:G75"/>
    <mergeCell ref="F76:G76"/>
    <mergeCell ref="F77:G77"/>
    <mergeCell ref="F78:G78"/>
    <mergeCell ref="F79:G79"/>
    <mergeCell ref="O85:O86"/>
    <mergeCell ref="P85:R86"/>
    <mergeCell ref="B86:C86"/>
    <mergeCell ref="D86:E86"/>
    <mergeCell ref="F86:G86"/>
    <mergeCell ref="H86:I86"/>
    <mergeCell ref="B85:C85"/>
    <mergeCell ref="D85:E85"/>
    <mergeCell ref="F85:G85"/>
    <mergeCell ref="H85:I85"/>
    <mergeCell ref="K85:K86"/>
    <mergeCell ref="L85:N86"/>
    <mergeCell ref="B94:C94"/>
    <mergeCell ref="D94:E94"/>
    <mergeCell ref="F94:G94"/>
    <mergeCell ref="H94:I94"/>
    <mergeCell ref="B95:C95"/>
    <mergeCell ref="D95:E95"/>
    <mergeCell ref="F95:G95"/>
    <mergeCell ref="H95:I95"/>
    <mergeCell ref="J123:J124"/>
    <mergeCell ref="K123:K124"/>
    <mergeCell ref="B123:E123"/>
    <mergeCell ref="L123:R123"/>
    <mergeCell ref="B104:C104"/>
    <mergeCell ref="D104:E104"/>
    <mergeCell ref="F104:G104"/>
    <mergeCell ref="H104:I104"/>
    <mergeCell ref="B105:C105"/>
    <mergeCell ref="D105:E105"/>
    <mergeCell ref="F105:G105"/>
    <mergeCell ref="H105:I105"/>
    <mergeCell ref="A1:C4"/>
    <mergeCell ref="D1:P1"/>
    <mergeCell ref="D2:P4"/>
    <mergeCell ref="AA123:AG123"/>
    <mergeCell ref="AH123:AN123"/>
    <mergeCell ref="B113:C113"/>
    <mergeCell ref="D113:E113"/>
    <mergeCell ref="F113:G113"/>
    <mergeCell ref="H113:I113"/>
    <mergeCell ref="B114:C114"/>
    <mergeCell ref="D114:E114"/>
    <mergeCell ref="F114:G114"/>
    <mergeCell ref="H114:I114"/>
    <mergeCell ref="T123:Z123"/>
    <mergeCell ref="I123:I124"/>
    <mergeCell ref="B121:V121"/>
  </mergeCells>
  <conditionalFormatting sqref="L125:S324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{4186114C-4DD1-4CA2-BB8E-1A0406741B78}</x14:id>
        </ext>
      </extLst>
    </cfRule>
  </conditionalFormatting>
  <pageMargins left="0.19685039370078741" right="0.19685039370078741" top="0.19685039370078741" bottom="0.19685039370078741" header="0" footer="0"/>
  <pageSetup paperSize="9" scale="47" orientation="landscape" r:id="rId1"/>
  <headerFooter alignWithMargins="0">
    <oddFooter>&amp;LGCO-LAB-FR023&amp;RVer.01
10/04/2018</oddFooter>
  </headerFooter>
  <rowBreaks count="2" manualBreakCount="2">
    <brk id="68" max="17" man="1"/>
    <brk id="120" max="17" man="1"/>
  </rowBreaks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86114C-4DD1-4CA2-BB8E-1A0406741B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L125:S324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L208"/>
  <sheetViews>
    <sheetView workbookViewId="0">
      <selection activeCell="D9" sqref="D9"/>
    </sheetView>
  </sheetViews>
  <sheetFormatPr baseColWidth="10" defaultRowHeight="13"/>
  <cols>
    <col min="1" max="1" width="4.6640625" customWidth="1"/>
    <col min="2" max="2" width="14.6640625" customWidth="1"/>
    <col min="3" max="4" width="15" style="283" customWidth="1"/>
    <col min="5" max="5" width="16.33203125" customWidth="1"/>
    <col min="6" max="8" width="12.33203125" customWidth="1"/>
  </cols>
  <sheetData>
    <row r="1" spans="1:12" s="143" customFormat="1" ht="13.5" customHeight="1">
      <c r="A1" s="508"/>
      <c r="B1" s="509"/>
      <c r="C1" s="410" t="s">
        <v>1</v>
      </c>
      <c r="D1" s="411"/>
      <c r="E1" s="411"/>
      <c r="F1" s="412"/>
      <c r="G1" s="141" t="s">
        <v>2</v>
      </c>
      <c r="H1" s="142" t="s">
        <v>35</v>
      </c>
      <c r="I1" s="203"/>
      <c r="J1" s="203"/>
      <c r="K1" s="204"/>
      <c r="L1" s="205"/>
    </row>
    <row r="2" spans="1:12" s="143" customFormat="1" ht="13.5" customHeight="1">
      <c r="A2" s="510"/>
      <c r="B2" s="511"/>
      <c r="C2" s="401" t="s">
        <v>34</v>
      </c>
      <c r="D2" s="402"/>
      <c r="E2" s="402"/>
      <c r="F2" s="403"/>
      <c r="G2" s="141" t="s">
        <v>3</v>
      </c>
      <c r="H2" s="144" t="s">
        <v>248</v>
      </c>
      <c r="I2" s="206"/>
      <c r="J2" s="206"/>
      <c r="K2" s="204"/>
      <c r="L2" s="207"/>
    </row>
    <row r="3" spans="1:12" s="143" customFormat="1" ht="13.5" customHeight="1">
      <c r="A3" s="510"/>
      <c r="B3" s="511"/>
      <c r="C3" s="404"/>
      <c r="D3" s="405"/>
      <c r="E3" s="405"/>
      <c r="F3" s="406"/>
      <c r="G3" s="141" t="s">
        <v>4</v>
      </c>
      <c r="H3" s="145" t="s">
        <v>250</v>
      </c>
      <c r="I3" s="206"/>
      <c r="J3" s="206"/>
      <c r="K3" s="204"/>
      <c r="L3" s="208"/>
    </row>
    <row r="4" spans="1:12" s="143" customFormat="1" ht="13.5" customHeight="1">
      <c r="A4" s="512"/>
      <c r="B4" s="513"/>
      <c r="C4" s="407"/>
      <c r="D4" s="408"/>
      <c r="E4" s="408"/>
      <c r="F4" s="409"/>
      <c r="G4" s="141" t="s">
        <v>5</v>
      </c>
      <c r="H4" s="146">
        <f>Datos!R4</f>
        <v>46147</v>
      </c>
      <c r="I4" s="206"/>
      <c r="J4" s="206"/>
      <c r="K4" s="204"/>
      <c r="L4" s="209"/>
    </row>
    <row r="5" spans="1:12">
      <c r="C5"/>
      <c r="D5"/>
    </row>
    <row r="6" spans="1:12" ht="18" customHeight="1">
      <c r="A6" s="507" t="s">
        <v>276</v>
      </c>
      <c r="B6" s="507"/>
      <c r="C6" s="507"/>
      <c r="D6" s="507"/>
      <c r="E6" s="507"/>
      <c r="F6" s="507"/>
      <c r="G6" s="507"/>
      <c r="H6" s="507"/>
      <c r="I6" s="279"/>
      <c r="J6" s="279"/>
    </row>
    <row r="8" spans="1:12" ht="28">
      <c r="A8" s="135" t="s">
        <v>249</v>
      </c>
      <c r="B8" s="136" t="s">
        <v>0</v>
      </c>
      <c r="C8" s="136" t="s">
        <v>254</v>
      </c>
      <c r="D8" s="135" t="s">
        <v>183</v>
      </c>
    </row>
    <row r="9" spans="1:12">
      <c r="A9" s="280">
        <f>P_DIS!B37</f>
        <v>1</v>
      </c>
      <c r="B9" s="281" t="str">
        <f>IF(P_DIS!C37="","",P_DIS!C37)</f>
        <v/>
      </c>
      <c r="C9" s="282" t="str">
        <f>IF(P_DIS!$T$29="","",P_DIS!$T$29)</f>
        <v/>
      </c>
      <c r="D9" s="281" t="str">
        <f>P_DIS!Q37</f>
        <v>-</v>
      </c>
    </row>
    <row r="10" spans="1:12">
      <c r="A10" s="280">
        <f>P_DIS!B38</f>
        <v>2</v>
      </c>
      <c r="B10" s="281" t="str">
        <f>IF(P_DIS!C38="","",P_DIS!C38)</f>
        <v/>
      </c>
      <c r="C10" s="282" t="str">
        <f>IF(P_DIS!$T$29="","",P_DIS!$T$29)</f>
        <v/>
      </c>
      <c r="D10" s="281" t="str">
        <f>P_DIS!Q38</f>
        <v>-</v>
      </c>
    </row>
    <row r="11" spans="1:12">
      <c r="A11" s="280">
        <f>P_DIS!B39</f>
        <v>3</v>
      </c>
      <c r="B11" s="281" t="str">
        <f>IF(P_DIS!C39="","",P_DIS!C39)</f>
        <v/>
      </c>
      <c r="C11" s="282" t="str">
        <f>IF(P_DIS!$T$29="","",P_DIS!$T$29)</f>
        <v/>
      </c>
      <c r="D11" s="281" t="str">
        <f>P_DIS!Q39</f>
        <v>-</v>
      </c>
    </row>
    <row r="12" spans="1:12">
      <c r="A12" s="280">
        <f>P_DIS!B40</f>
        <v>4</v>
      </c>
      <c r="B12" s="281" t="str">
        <f>IF(P_DIS!C40="","",P_DIS!C40)</f>
        <v/>
      </c>
      <c r="C12" s="282" t="str">
        <f>IF(P_DIS!$T$29="","",P_DIS!$T$29)</f>
        <v/>
      </c>
      <c r="D12" s="281" t="str">
        <f>P_DIS!Q40</f>
        <v>-</v>
      </c>
    </row>
    <row r="13" spans="1:12">
      <c r="A13" s="280">
        <f>P_DIS!B41</f>
        <v>5</v>
      </c>
      <c r="B13" s="281" t="str">
        <f>IF(P_DIS!C41="","",P_DIS!C41)</f>
        <v/>
      </c>
      <c r="C13" s="282" t="str">
        <f>IF(P_DIS!$T$29="","",P_DIS!$T$29)</f>
        <v/>
      </c>
      <c r="D13" s="281" t="str">
        <f>P_DIS!Q41</f>
        <v>-</v>
      </c>
    </row>
    <row r="14" spans="1:12">
      <c r="A14" s="280">
        <f>P_DIS!B42</f>
        <v>6</v>
      </c>
      <c r="B14" s="281" t="str">
        <f>IF(P_DIS!C42="","",P_DIS!C42)</f>
        <v/>
      </c>
      <c r="C14" s="282" t="str">
        <f>IF(P_DIS!$T$29="","",P_DIS!$T$29)</f>
        <v/>
      </c>
      <c r="D14" s="281" t="str">
        <f>P_DIS!Q42</f>
        <v>-</v>
      </c>
    </row>
    <row r="15" spans="1:12">
      <c r="A15" s="280">
        <f>P_DIS!B43</f>
        <v>7</v>
      </c>
      <c r="B15" s="281" t="str">
        <f>IF(P_DIS!C43="","",P_DIS!C43)</f>
        <v/>
      </c>
      <c r="C15" s="282" t="str">
        <f>IF(P_DIS!$T$29="","",P_DIS!$T$29)</f>
        <v/>
      </c>
      <c r="D15" s="281" t="str">
        <f>P_DIS!Q43</f>
        <v>-</v>
      </c>
    </row>
    <row r="16" spans="1:12">
      <c r="A16" s="280">
        <f>P_DIS!B44</f>
        <v>8</v>
      </c>
      <c r="B16" s="281" t="str">
        <f>IF(P_DIS!C44="","",P_DIS!C44)</f>
        <v/>
      </c>
      <c r="C16" s="282" t="str">
        <f>IF(P_DIS!$T$29="","",P_DIS!$T$29)</f>
        <v/>
      </c>
      <c r="D16" s="281" t="str">
        <f>P_DIS!Q44</f>
        <v>-</v>
      </c>
    </row>
    <row r="17" spans="1:4">
      <c r="A17" s="280">
        <f>P_DIS!B45</f>
        <v>9</v>
      </c>
      <c r="B17" s="281" t="str">
        <f>IF(P_DIS!C45="","",P_DIS!C45)</f>
        <v/>
      </c>
      <c r="C17" s="282" t="str">
        <f>IF(P_DIS!$T$29="","",P_DIS!$T$29)</f>
        <v/>
      </c>
      <c r="D17" s="281" t="str">
        <f>P_DIS!Q45</f>
        <v>-</v>
      </c>
    </row>
    <row r="18" spans="1:4">
      <c r="A18" s="280">
        <f>P_DIS!B46</f>
        <v>10</v>
      </c>
      <c r="B18" s="281" t="str">
        <f>IF(P_DIS!C46="","",P_DIS!C46)</f>
        <v/>
      </c>
      <c r="C18" s="282" t="str">
        <f>IF(P_DIS!$T$29="","",P_DIS!$T$29)</f>
        <v/>
      </c>
      <c r="D18" s="281" t="str">
        <f>P_DIS!Q46</f>
        <v>-</v>
      </c>
    </row>
    <row r="19" spans="1:4">
      <c r="A19" s="280">
        <f>P_DIS!B47</f>
        <v>11</v>
      </c>
      <c r="B19" s="281" t="str">
        <f>IF(P_DIS!C47="","",P_DIS!C47)</f>
        <v/>
      </c>
      <c r="C19" s="282" t="str">
        <f>IF(P_DIS!$T$29="","",P_DIS!$T$29)</f>
        <v/>
      </c>
      <c r="D19" s="281" t="str">
        <f>P_DIS!Q47</f>
        <v>-</v>
      </c>
    </row>
    <row r="20" spans="1:4">
      <c r="A20" s="280">
        <f>P_DIS!B48</f>
        <v>12</v>
      </c>
      <c r="B20" s="281" t="str">
        <f>IF(P_DIS!C48="","",P_DIS!C48)</f>
        <v/>
      </c>
      <c r="C20" s="282" t="str">
        <f>IF(P_DIS!$T$29="","",P_DIS!$T$29)</f>
        <v/>
      </c>
      <c r="D20" s="281" t="str">
        <f>P_DIS!Q48</f>
        <v>-</v>
      </c>
    </row>
    <row r="21" spans="1:4">
      <c r="A21" s="280">
        <f>P_DIS!B49</f>
        <v>13</v>
      </c>
      <c r="B21" s="281" t="str">
        <f>IF(P_DIS!C49="","",P_DIS!C49)</f>
        <v/>
      </c>
      <c r="C21" s="282" t="str">
        <f>IF(P_DIS!$T$29="","",P_DIS!$T$29)</f>
        <v/>
      </c>
      <c r="D21" s="281" t="str">
        <f>P_DIS!Q49</f>
        <v>-</v>
      </c>
    </row>
    <row r="22" spans="1:4">
      <c r="A22" s="280">
        <f>P_DIS!B50</f>
        <v>14</v>
      </c>
      <c r="B22" s="281" t="str">
        <f>IF(P_DIS!C50="","",P_DIS!C50)</f>
        <v/>
      </c>
      <c r="C22" s="282" t="str">
        <f>IF(P_DIS!$T$29="","",P_DIS!$T$29)</f>
        <v/>
      </c>
      <c r="D22" s="281" t="str">
        <f>P_DIS!Q50</f>
        <v>-</v>
      </c>
    </row>
    <row r="23" spans="1:4">
      <c r="A23" s="280">
        <f>P_DIS!B51</f>
        <v>15</v>
      </c>
      <c r="B23" s="281" t="str">
        <f>IF(P_DIS!C51="","",P_DIS!C51)</f>
        <v/>
      </c>
      <c r="C23" s="282" t="str">
        <f>IF(P_DIS!$T$29="","",P_DIS!$T$29)</f>
        <v/>
      </c>
      <c r="D23" s="281" t="str">
        <f>P_DIS!Q51</f>
        <v>-</v>
      </c>
    </row>
    <row r="24" spans="1:4">
      <c r="A24" s="280">
        <f>P_DIS!B52</f>
        <v>16</v>
      </c>
      <c r="B24" s="281" t="str">
        <f>IF(P_DIS!C52="","",P_DIS!C52)</f>
        <v/>
      </c>
      <c r="C24" s="282" t="str">
        <f>IF(P_DIS!$T$29="","",P_DIS!$T$29)</f>
        <v/>
      </c>
      <c r="D24" s="281" t="str">
        <f>P_DIS!Q52</f>
        <v>-</v>
      </c>
    </row>
    <row r="25" spans="1:4">
      <c r="A25" s="280">
        <f>P_DIS!B53</f>
        <v>17</v>
      </c>
      <c r="B25" s="281" t="str">
        <f>IF(P_DIS!C53="","",P_DIS!C53)</f>
        <v/>
      </c>
      <c r="C25" s="282" t="str">
        <f>IF(P_DIS!$T$29="","",P_DIS!$T$29)</f>
        <v/>
      </c>
      <c r="D25" s="281" t="str">
        <f>P_DIS!Q53</f>
        <v>-</v>
      </c>
    </row>
    <row r="26" spans="1:4">
      <c r="A26" s="280">
        <f>P_DIS!B54</f>
        <v>18</v>
      </c>
      <c r="B26" s="281" t="str">
        <f>IF(P_DIS!C54="","",P_DIS!C54)</f>
        <v/>
      </c>
      <c r="C26" s="282" t="str">
        <f>IF(P_DIS!$T$29="","",P_DIS!$T$29)</f>
        <v/>
      </c>
      <c r="D26" s="281" t="str">
        <f>P_DIS!Q54</f>
        <v>-</v>
      </c>
    </row>
    <row r="27" spans="1:4">
      <c r="A27" s="280">
        <f>P_DIS!B55</f>
        <v>19</v>
      </c>
      <c r="B27" s="281" t="str">
        <f>IF(P_DIS!C55="","",P_DIS!C55)</f>
        <v/>
      </c>
      <c r="C27" s="282" t="str">
        <f>IF(P_DIS!$T$29="","",P_DIS!$T$29)</f>
        <v/>
      </c>
      <c r="D27" s="281" t="str">
        <f>P_DIS!Q55</f>
        <v>-</v>
      </c>
    </row>
    <row r="28" spans="1:4">
      <c r="A28" s="280">
        <f>P_DIS!B56</f>
        <v>20</v>
      </c>
      <c r="B28" s="281" t="str">
        <f>IF(P_DIS!C56="","",P_DIS!C56)</f>
        <v/>
      </c>
      <c r="C28" s="282" t="str">
        <f>IF(P_DIS!$T$29="","",P_DIS!$T$29)</f>
        <v/>
      </c>
      <c r="D28" s="281" t="str">
        <f>P_DIS!Q56</f>
        <v>-</v>
      </c>
    </row>
    <row r="29" spans="1:4">
      <c r="A29" s="280">
        <f>P_DIS!B60</f>
        <v>21</v>
      </c>
      <c r="B29" s="281" t="str">
        <f>IF(P_DIS!C60="","",P_DIS!C60)</f>
        <v/>
      </c>
      <c r="C29" s="282" t="str">
        <f>IF(P_DIS!$T$29="","",P_DIS!$T$29)</f>
        <v/>
      </c>
      <c r="D29" s="281" t="str">
        <f>P_DIS!Q60</f>
        <v>-</v>
      </c>
    </row>
    <row r="30" spans="1:4">
      <c r="A30" s="280">
        <f>P_DIS!B61</f>
        <v>22</v>
      </c>
      <c r="B30" s="281" t="str">
        <f>IF(P_DIS!C61="","",P_DIS!C61)</f>
        <v/>
      </c>
      <c r="C30" s="282" t="str">
        <f>IF(P_DIS!$T$29="","",P_DIS!$T$29)</f>
        <v/>
      </c>
      <c r="D30" s="281" t="str">
        <f>P_DIS!Q61</f>
        <v>-</v>
      </c>
    </row>
    <row r="31" spans="1:4">
      <c r="A31" s="280">
        <f>P_DIS!B62</f>
        <v>23</v>
      </c>
      <c r="B31" s="281" t="str">
        <f>IF(P_DIS!C62="","",P_DIS!C62)</f>
        <v/>
      </c>
      <c r="C31" s="282" t="str">
        <f>IF(P_DIS!$T$29="","",P_DIS!$T$29)</f>
        <v/>
      </c>
      <c r="D31" s="281" t="str">
        <f>P_DIS!Q62</f>
        <v>-</v>
      </c>
    </row>
    <row r="32" spans="1:4">
      <c r="A32" s="280">
        <f>P_DIS!B63</f>
        <v>24</v>
      </c>
      <c r="B32" s="281" t="str">
        <f>IF(P_DIS!C63="","",P_DIS!C63)</f>
        <v/>
      </c>
      <c r="C32" s="282" t="str">
        <f>IF(P_DIS!$T$29="","",P_DIS!$T$29)</f>
        <v/>
      </c>
      <c r="D32" s="281" t="str">
        <f>P_DIS!Q63</f>
        <v>-</v>
      </c>
    </row>
    <row r="33" spans="1:4">
      <c r="A33" s="280">
        <f>P_DIS!B64</f>
        <v>25</v>
      </c>
      <c r="B33" s="281" t="str">
        <f>IF(P_DIS!C64="","",P_DIS!C64)</f>
        <v/>
      </c>
      <c r="C33" s="282" t="str">
        <f>IF(P_DIS!$T$29="","",P_DIS!$T$29)</f>
        <v/>
      </c>
      <c r="D33" s="281" t="str">
        <f>P_DIS!Q64</f>
        <v>-</v>
      </c>
    </row>
    <row r="34" spans="1:4">
      <c r="A34" s="280">
        <f>P_DIS!B65</f>
        <v>26</v>
      </c>
      <c r="B34" s="281" t="str">
        <f>IF(P_DIS!C65="","",P_DIS!C65)</f>
        <v/>
      </c>
      <c r="C34" s="282" t="str">
        <f>IF(P_DIS!$T$29="","",P_DIS!$T$29)</f>
        <v/>
      </c>
      <c r="D34" s="281" t="str">
        <f>P_DIS!Q65</f>
        <v>-</v>
      </c>
    </row>
    <row r="35" spans="1:4">
      <c r="A35" s="280">
        <f>P_DIS!B66</f>
        <v>27</v>
      </c>
      <c r="B35" s="281" t="str">
        <f>IF(P_DIS!C66="","",P_DIS!C66)</f>
        <v/>
      </c>
      <c r="C35" s="282" t="str">
        <f>IF(P_DIS!$T$29="","",P_DIS!$T$29)</f>
        <v/>
      </c>
      <c r="D35" s="281" t="str">
        <f>P_DIS!Q66</f>
        <v>-</v>
      </c>
    </row>
    <row r="36" spans="1:4">
      <c r="A36" s="280">
        <f>P_DIS!B67</f>
        <v>28</v>
      </c>
      <c r="B36" s="281" t="str">
        <f>IF(P_DIS!C67="","",P_DIS!C67)</f>
        <v/>
      </c>
      <c r="C36" s="282" t="str">
        <f>IF(P_DIS!$T$29="","",P_DIS!$T$29)</f>
        <v/>
      </c>
      <c r="D36" s="281" t="str">
        <f>P_DIS!Q67</f>
        <v>-</v>
      </c>
    </row>
    <row r="37" spans="1:4">
      <c r="A37" s="280">
        <f>P_DIS!B68</f>
        <v>29</v>
      </c>
      <c r="B37" s="281" t="str">
        <f>IF(P_DIS!C68="","",P_DIS!C68)</f>
        <v/>
      </c>
      <c r="C37" s="282" t="str">
        <f>IF(P_DIS!$T$29="","",P_DIS!$T$29)</f>
        <v/>
      </c>
      <c r="D37" s="281" t="str">
        <f>P_DIS!Q68</f>
        <v>-</v>
      </c>
    </row>
    <row r="38" spans="1:4">
      <c r="A38" s="280">
        <f>P_DIS!B69</f>
        <v>30</v>
      </c>
      <c r="B38" s="281" t="str">
        <f>IF(P_DIS!C69="","",P_DIS!C69)</f>
        <v/>
      </c>
      <c r="C38" s="282" t="str">
        <f>IF(P_DIS!$T$29="","",P_DIS!$T$29)</f>
        <v/>
      </c>
      <c r="D38" s="281" t="str">
        <f>P_DIS!Q69</f>
        <v>-</v>
      </c>
    </row>
    <row r="39" spans="1:4">
      <c r="A39" s="280">
        <f>P_DIS!B70</f>
        <v>31</v>
      </c>
      <c r="B39" s="281" t="str">
        <f>IF(P_DIS!C70="","",P_DIS!C70)</f>
        <v/>
      </c>
      <c r="C39" s="282" t="str">
        <f>IF(P_DIS!$T$29="","",P_DIS!$T$29)</f>
        <v/>
      </c>
      <c r="D39" s="281" t="str">
        <f>P_DIS!Q70</f>
        <v>-</v>
      </c>
    </row>
    <row r="40" spans="1:4">
      <c r="A40" s="280">
        <f>P_DIS!B71</f>
        <v>32</v>
      </c>
      <c r="B40" s="281" t="str">
        <f>IF(P_DIS!C71="","",P_DIS!C71)</f>
        <v/>
      </c>
      <c r="C40" s="282" t="str">
        <f>IF(P_DIS!$T$29="","",P_DIS!$T$29)</f>
        <v/>
      </c>
      <c r="D40" s="281" t="str">
        <f>P_DIS!Q71</f>
        <v>-</v>
      </c>
    </row>
    <row r="41" spans="1:4">
      <c r="A41" s="280">
        <f>P_DIS!B72</f>
        <v>33</v>
      </c>
      <c r="B41" s="281" t="str">
        <f>IF(P_DIS!C72="","",P_DIS!C72)</f>
        <v/>
      </c>
      <c r="C41" s="282" t="str">
        <f>IF(P_DIS!$T$29="","",P_DIS!$T$29)</f>
        <v/>
      </c>
      <c r="D41" s="281" t="str">
        <f>P_DIS!Q72</f>
        <v>-</v>
      </c>
    </row>
    <row r="42" spans="1:4">
      <c r="A42" s="280">
        <f>P_DIS!B73</f>
        <v>34</v>
      </c>
      <c r="B42" s="281" t="str">
        <f>IF(P_DIS!C73="","",P_DIS!C73)</f>
        <v/>
      </c>
      <c r="C42" s="282" t="str">
        <f>IF(P_DIS!$T$29="","",P_DIS!$T$29)</f>
        <v/>
      </c>
      <c r="D42" s="281" t="str">
        <f>P_DIS!Q73</f>
        <v>-</v>
      </c>
    </row>
    <row r="43" spans="1:4">
      <c r="A43" s="280">
        <f>P_DIS!B74</f>
        <v>35</v>
      </c>
      <c r="B43" s="281" t="str">
        <f>IF(P_DIS!C74="","",P_DIS!C74)</f>
        <v/>
      </c>
      <c r="C43" s="282" t="str">
        <f>IF(P_DIS!$T$29="","",P_DIS!$T$29)</f>
        <v/>
      </c>
      <c r="D43" s="281" t="str">
        <f>P_DIS!Q74</f>
        <v>-</v>
      </c>
    </row>
    <row r="44" spans="1:4">
      <c r="A44" s="280">
        <f>P_DIS!B75</f>
        <v>36</v>
      </c>
      <c r="B44" s="281" t="str">
        <f>IF(P_DIS!C75="","",P_DIS!C75)</f>
        <v/>
      </c>
      <c r="C44" s="282" t="str">
        <f>IF(P_DIS!$T$29="","",P_DIS!$T$29)</f>
        <v/>
      </c>
      <c r="D44" s="281" t="str">
        <f>P_DIS!Q75</f>
        <v>-</v>
      </c>
    </row>
    <row r="45" spans="1:4">
      <c r="A45" s="280">
        <f>P_DIS!B76</f>
        <v>37</v>
      </c>
      <c r="B45" s="281" t="str">
        <f>IF(P_DIS!C76="","",P_DIS!C76)</f>
        <v/>
      </c>
      <c r="C45" s="282" t="str">
        <f>IF(P_DIS!$T$29="","",P_DIS!$T$29)</f>
        <v/>
      </c>
      <c r="D45" s="281" t="str">
        <f>P_DIS!Q76</f>
        <v>-</v>
      </c>
    </row>
    <row r="46" spans="1:4">
      <c r="A46" s="280">
        <f>P_DIS!B77</f>
        <v>38</v>
      </c>
      <c r="B46" s="281" t="str">
        <f>IF(P_DIS!C77="","",P_DIS!C77)</f>
        <v/>
      </c>
      <c r="C46" s="282" t="str">
        <f>IF(P_DIS!$T$29="","",P_DIS!$T$29)</f>
        <v/>
      </c>
      <c r="D46" s="281" t="str">
        <f>P_DIS!Q77</f>
        <v>-</v>
      </c>
    </row>
    <row r="47" spans="1:4">
      <c r="A47" s="280">
        <f>P_DIS!B78</f>
        <v>39</v>
      </c>
      <c r="B47" s="281" t="str">
        <f>IF(P_DIS!C78="","",P_DIS!C78)</f>
        <v/>
      </c>
      <c r="C47" s="282" t="str">
        <f>IF(P_DIS!$T$29="","",P_DIS!$T$29)</f>
        <v/>
      </c>
      <c r="D47" s="281" t="str">
        <f>P_DIS!Q78</f>
        <v>-</v>
      </c>
    </row>
    <row r="48" spans="1:4">
      <c r="A48" s="280">
        <f>P_DIS!B79</f>
        <v>40</v>
      </c>
      <c r="B48" s="281" t="str">
        <f>IF(P_DIS!C79="","",P_DIS!C79)</f>
        <v/>
      </c>
      <c r="C48" s="282" t="str">
        <f>IF(P_DIS!$T$29="","",P_DIS!$T$29)</f>
        <v/>
      </c>
      <c r="D48" s="281" t="str">
        <f>P_DIS!Q79</f>
        <v>-</v>
      </c>
    </row>
    <row r="49" spans="1:4">
      <c r="A49" s="280">
        <f>P_DIS!B83</f>
        <v>41</v>
      </c>
      <c r="B49" s="281" t="str">
        <f>IF(P_DIS!C83="","",P_DIS!C83)</f>
        <v/>
      </c>
      <c r="C49" s="282" t="str">
        <f>IF(P_DIS!$T$29="","",P_DIS!$T$29)</f>
        <v/>
      </c>
      <c r="D49" s="281" t="str">
        <f>P_DIS!Q83</f>
        <v>-</v>
      </c>
    </row>
    <row r="50" spans="1:4">
      <c r="A50" s="280">
        <f>P_DIS!B84</f>
        <v>42</v>
      </c>
      <c r="B50" s="281" t="str">
        <f>IF(P_DIS!C84="","",P_DIS!C84)</f>
        <v/>
      </c>
      <c r="C50" s="282" t="str">
        <f>IF(P_DIS!$T$29="","",P_DIS!$T$29)</f>
        <v/>
      </c>
      <c r="D50" s="281" t="str">
        <f>P_DIS!Q84</f>
        <v>-</v>
      </c>
    </row>
    <row r="51" spans="1:4">
      <c r="A51" s="280">
        <f>P_DIS!B85</f>
        <v>43</v>
      </c>
      <c r="B51" s="281" t="str">
        <f>IF(P_DIS!C85="","",P_DIS!C85)</f>
        <v/>
      </c>
      <c r="C51" s="282" t="str">
        <f>IF(P_DIS!$T$29="","",P_DIS!$T$29)</f>
        <v/>
      </c>
      <c r="D51" s="281" t="str">
        <f>P_DIS!Q85</f>
        <v>-</v>
      </c>
    </row>
    <row r="52" spans="1:4">
      <c r="A52" s="280">
        <f>P_DIS!B86</f>
        <v>44</v>
      </c>
      <c r="B52" s="281" t="str">
        <f>IF(P_DIS!C86="","",P_DIS!C86)</f>
        <v/>
      </c>
      <c r="C52" s="282" t="str">
        <f>IF(P_DIS!$T$29="","",P_DIS!$T$29)</f>
        <v/>
      </c>
      <c r="D52" s="281" t="str">
        <f>P_DIS!Q86</f>
        <v>-</v>
      </c>
    </row>
    <row r="53" spans="1:4">
      <c r="A53" s="280">
        <f>P_DIS!B87</f>
        <v>45</v>
      </c>
      <c r="B53" s="281" t="str">
        <f>IF(P_DIS!C87="","",P_DIS!C87)</f>
        <v/>
      </c>
      <c r="C53" s="282" t="str">
        <f>IF(P_DIS!$T$29="","",P_DIS!$T$29)</f>
        <v/>
      </c>
      <c r="D53" s="281" t="str">
        <f>P_DIS!Q87</f>
        <v>-</v>
      </c>
    </row>
    <row r="54" spans="1:4">
      <c r="A54" s="280">
        <f>P_DIS!B88</f>
        <v>46</v>
      </c>
      <c r="B54" s="281" t="str">
        <f>IF(P_DIS!C88="","",P_DIS!C88)</f>
        <v/>
      </c>
      <c r="C54" s="282" t="str">
        <f>IF(P_DIS!$T$29="","",P_DIS!$T$29)</f>
        <v/>
      </c>
      <c r="D54" s="281" t="str">
        <f>P_DIS!Q88</f>
        <v>-</v>
      </c>
    </row>
    <row r="55" spans="1:4">
      <c r="A55" s="280">
        <f>P_DIS!B89</f>
        <v>47</v>
      </c>
      <c r="B55" s="281" t="str">
        <f>IF(P_DIS!C89="","",P_DIS!C89)</f>
        <v/>
      </c>
      <c r="C55" s="282" t="str">
        <f>IF(P_DIS!$T$29="","",P_DIS!$T$29)</f>
        <v/>
      </c>
      <c r="D55" s="281" t="str">
        <f>P_DIS!Q89</f>
        <v>-</v>
      </c>
    </row>
    <row r="56" spans="1:4">
      <c r="A56" s="280">
        <f>P_DIS!B90</f>
        <v>48</v>
      </c>
      <c r="B56" s="281" t="str">
        <f>IF(P_DIS!C90="","",P_DIS!C90)</f>
        <v/>
      </c>
      <c r="C56" s="282" t="str">
        <f>IF(P_DIS!$T$29="","",P_DIS!$T$29)</f>
        <v/>
      </c>
      <c r="D56" s="281" t="str">
        <f>P_DIS!Q90</f>
        <v>-</v>
      </c>
    </row>
    <row r="57" spans="1:4">
      <c r="A57" s="280">
        <f>P_DIS!B91</f>
        <v>49</v>
      </c>
      <c r="B57" s="281" t="str">
        <f>IF(P_DIS!C91="","",P_DIS!C91)</f>
        <v/>
      </c>
      <c r="C57" s="282" t="str">
        <f>IF(P_DIS!$T$29="","",P_DIS!$T$29)</f>
        <v/>
      </c>
      <c r="D57" s="281" t="str">
        <f>P_DIS!Q91</f>
        <v>-</v>
      </c>
    </row>
    <row r="58" spans="1:4">
      <c r="A58" s="280">
        <f>P_DIS!B92</f>
        <v>50</v>
      </c>
      <c r="B58" s="281" t="str">
        <f>IF(P_DIS!C92="","",P_DIS!C92)</f>
        <v/>
      </c>
      <c r="C58" s="282" t="str">
        <f>IF(P_DIS!$T$29="","",P_DIS!$T$29)</f>
        <v/>
      </c>
      <c r="D58" s="281" t="str">
        <f>P_DIS!Q92</f>
        <v>-</v>
      </c>
    </row>
    <row r="59" spans="1:4">
      <c r="A59" s="280">
        <f>P_DIS!B93</f>
        <v>51</v>
      </c>
      <c r="B59" s="281" t="str">
        <f>IF(P_DIS!C93="","",P_DIS!C93)</f>
        <v/>
      </c>
      <c r="C59" s="282" t="str">
        <f>IF(P_DIS!$T$29="","",P_DIS!$T$29)</f>
        <v/>
      </c>
      <c r="D59" s="281" t="str">
        <f>P_DIS!Q93</f>
        <v>-</v>
      </c>
    </row>
    <row r="60" spans="1:4">
      <c r="A60" s="280">
        <f>P_DIS!B94</f>
        <v>52</v>
      </c>
      <c r="B60" s="281" t="str">
        <f>IF(P_DIS!C94="","",P_DIS!C94)</f>
        <v/>
      </c>
      <c r="C60" s="282" t="str">
        <f>IF(P_DIS!$T$29="","",P_DIS!$T$29)</f>
        <v/>
      </c>
      <c r="D60" s="281" t="str">
        <f>P_DIS!Q94</f>
        <v>-</v>
      </c>
    </row>
    <row r="61" spans="1:4">
      <c r="A61" s="280">
        <f>P_DIS!B95</f>
        <v>53</v>
      </c>
      <c r="B61" s="281" t="str">
        <f>IF(P_DIS!C95="","",P_DIS!C95)</f>
        <v/>
      </c>
      <c r="C61" s="282" t="str">
        <f>IF(P_DIS!$T$29="","",P_DIS!$T$29)</f>
        <v/>
      </c>
      <c r="D61" s="281" t="str">
        <f>P_DIS!Q95</f>
        <v>-</v>
      </c>
    </row>
    <row r="62" spans="1:4">
      <c r="A62" s="280">
        <f>P_DIS!B96</f>
        <v>54</v>
      </c>
      <c r="B62" s="281" t="str">
        <f>IF(P_DIS!C96="","",P_DIS!C96)</f>
        <v/>
      </c>
      <c r="C62" s="282" t="str">
        <f>IF(P_DIS!$T$29="","",P_DIS!$T$29)</f>
        <v/>
      </c>
      <c r="D62" s="281" t="str">
        <f>P_DIS!Q96</f>
        <v>-</v>
      </c>
    </row>
    <row r="63" spans="1:4">
      <c r="A63" s="280">
        <f>P_DIS!B97</f>
        <v>55</v>
      </c>
      <c r="B63" s="281" t="str">
        <f>IF(P_DIS!C97="","",P_DIS!C97)</f>
        <v/>
      </c>
      <c r="C63" s="282" t="str">
        <f>IF(P_DIS!$T$29="","",P_DIS!$T$29)</f>
        <v/>
      </c>
      <c r="D63" s="281" t="str">
        <f>P_DIS!Q97</f>
        <v>-</v>
      </c>
    </row>
    <row r="64" spans="1:4">
      <c r="A64" s="280">
        <f>P_DIS!B98</f>
        <v>56</v>
      </c>
      <c r="B64" s="281" t="str">
        <f>IF(P_DIS!C98="","",P_DIS!C98)</f>
        <v/>
      </c>
      <c r="C64" s="282" t="str">
        <f>IF(P_DIS!$T$29="","",P_DIS!$T$29)</f>
        <v/>
      </c>
      <c r="D64" s="281" t="str">
        <f>P_DIS!Q98</f>
        <v>-</v>
      </c>
    </row>
    <row r="65" spans="1:4">
      <c r="A65" s="280">
        <f>P_DIS!B99</f>
        <v>57</v>
      </c>
      <c r="B65" s="281" t="str">
        <f>IF(P_DIS!C99="","",P_DIS!C99)</f>
        <v/>
      </c>
      <c r="C65" s="282" t="str">
        <f>IF(P_DIS!$T$29="","",P_DIS!$T$29)</f>
        <v/>
      </c>
      <c r="D65" s="281" t="str">
        <f>P_DIS!Q99</f>
        <v>-</v>
      </c>
    </row>
    <row r="66" spans="1:4">
      <c r="A66" s="280">
        <f>P_DIS!B100</f>
        <v>58</v>
      </c>
      <c r="B66" s="281" t="str">
        <f>IF(P_DIS!C100="","",P_DIS!C100)</f>
        <v/>
      </c>
      <c r="C66" s="282" t="str">
        <f>IF(P_DIS!$T$29="","",P_DIS!$T$29)</f>
        <v/>
      </c>
      <c r="D66" s="281" t="str">
        <f>P_DIS!Q100</f>
        <v>-</v>
      </c>
    </row>
    <row r="67" spans="1:4">
      <c r="A67" s="280">
        <f>P_DIS!B101</f>
        <v>59</v>
      </c>
      <c r="B67" s="281" t="str">
        <f>IF(P_DIS!C101="","",P_DIS!C101)</f>
        <v/>
      </c>
      <c r="C67" s="282" t="str">
        <f>IF(P_DIS!$T$29="","",P_DIS!$T$29)</f>
        <v/>
      </c>
      <c r="D67" s="281" t="str">
        <f>P_DIS!Q101</f>
        <v>-</v>
      </c>
    </row>
    <row r="68" spans="1:4">
      <c r="A68" s="280">
        <f>P_DIS!B102</f>
        <v>60</v>
      </c>
      <c r="B68" s="281" t="str">
        <f>IF(P_DIS!C102="","",P_DIS!C102)</f>
        <v/>
      </c>
      <c r="C68" s="282" t="str">
        <f>IF(P_DIS!$T$29="","",P_DIS!$T$29)</f>
        <v/>
      </c>
      <c r="D68" s="281" t="str">
        <f>P_DIS!Q102</f>
        <v>-</v>
      </c>
    </row>
    <row r="69" spans="1:4">
      <c r="A69" s="280">
        <f>P_DIS!B106</f>
        <v>61</v>
      </c>
      <c r="B69" s="281" t="str">
        <f>IF(P_DIS!C106="","",P_DIS!C106)</f>
        <v/>
      </c>
      <c r="C69" s="282" t="str">
        <f>IF(P_DIS!$T$29="","",P_DIS!$T$29)</f>
        <v/>
      </c>
      <c r="D69" s="281" t="str">
        <f>P_DIS!Q106</f>
        <v>-</v>
      </c>
    </row>
    <row r="70" spans="1:4">
      <c r="A70" s="280">
        <f>P_DIS!B107</f>
        <v>62</v>
      </c>
      <c r="B70" s="281" t="str">
        <f>IF(P_DIS!C107="","",P_DIS!C107)</f>
        <v/>
      </c>
      <c r="C70" s="282" t="str">
        <f>IF(P_DIS!$T$29="","",P_DIS!$T$29)</f>
        <v/>
      </c>
      <c r="D70" s="281" t="str">
        <f>P_DIS!Q107</f>
        <v>-</v>
      </c>
    </row>
    <row r="71" spans="1:4">
      <c r="A71" s="280">
        <f>P_DIS!B108</f>
        <v>63</v>
      </c>
      <c r="B71" s="281" t="str">
        <f>IF(P_DIS!C108="","",P_DIS!C108)</f>
        <v/>
      </c>
      <c r="C71" s="282" t="str">
        <f>IF(P_DIS!$T$29="","",P_DIS!$T$29)</f>
        <v/>
      </c>
      <c r="D71" s="281" t="str">
        <f>P_DIS!Q108</f>
        <v>-</v>
      </c>
    </row>
    <row r="72" spans="1:4">
      <c r="A72" s="280">
        <f>P_DIS!B109</f>
        <v>64</v>
      </c>
      <c r="B72" s="281" t="str">
        <f>IF(P_DIS!C109="","",P_DIS!C109)</f>
        <v/>
      </c>
      <c r="C72" s="282" t="str">
        <f>IF(P_DIS!$T$29="","",P_DIS!$T$29)</f>
        <v/>
      </c>
      <c r="D72" s="281" t="str">
        <f>P_DIS!Q109</f>
        <v>-</v>
      </c>
    </row>
    <row r="73" spans="1:4">
      <c r="A73" s="280">
        <f>P_DIS!B110</f>
        <v>65</v>
      </c>
      <c r="B73" s="281" t="str">
        <f>IF(P_DIS!C110="","",P_DIS!C110)</f>
        <v/>
      </c>
      <c r="C73" s="282" t="str">
        <f>IF(P_DIS!$T$29="","",P_DIS!$T$29)</f>
        <v/>
      </c>
      <c r="D73" s="281" t="str">
        <f>P_DIS!Q110</f>
        <v>-</v>
      </c>
    </row>
    <row r="74" spans="1:4">
      <c r="A74" s="280">
        <f>P_DIS!B111</f>
        <v>66</v>
      </c>
      <c r="B74" s="281" t="str">
        <f>IF(P_DIS!C111="","",P_DIS!C111)</f>
        <v/>
      </c>
      <c r="C74" s="282" t="str">
        <f>IF(P_DIS!$T$29="","",P_DIS!$T$29)</f>
        <v/>
      </c>
      <c r="D74" s="281" t="str">
        <f>P_DIS!Q111</f>
        <v>-</v>
      </c>
    </row>
    <row r="75" spans="1:4">
      <c r="A75" s="280">
        <f>P_DIS!B112</f>
        <v>67</v>
      </c>
      <c r="B75" s="281" t="str">
        <f>IF(P_DIS!C112="","",P_DIS!C112)</f>
        <v/>
      </c>
      <c r="C75" s="282" t="str">
        <f>IF(P_DIS!$T$29="","",P_DIS!$T$29)</f>
        <v/>
      </c>
      <c r="D75" s="281" t="str">
        <f>P_DIS!Q112</f>
        <v>-</v>
      </c>
    </row>
    <row r="76" spans="1:4">
      <c r="A76" s="280">
        <f>P_DIS!B113</f>
        <v>68</v>
      </c>
      <c r="B76" s="281" t="str">
        <f>IF(P_DIS!C113="","",P_DIS!C113)</f>
        <v/>
      </c>
      <c r="C76" s="282" t="str">
        <f>IF(P_DIS!$T$29="","",P_DIS!$T$29)</f>
        <v/>
      </c>
      <c r="D76" s="281" t="str">
        <f>P_DIS!Q113</f>
        <v>-</v>
      </c>
    </row>
    <row r="77" spans="1:4">
      <c r="A77" s="280">
        <f>P_DIS!B114</f>
        <v>69</v>
      </c>
      <c r="B77" s="281" t="str">
        <f>IF(P_DIS!C114="","",P_DIS!C114)</f>
        <v/>
      </c>
      <c r="C77" s="282" t="str">
        <f>IF(P_DIS!$T$29="","",P_DIS!$T$29)</f>
        <v/>
      </c>
      <c r="D77" s="281" t="str">
        <f>P_DIS!Q114</f>
        <v>-</v>
      </c>
    </row>
    <row r="78" spans="1:4">
      <c r="A78" s="280">
        <f>P_DIS!B115</f>
        <v>70</v>
      </c>
      <c r="B78" s="281" t="str">
        <f>IF(P_DIS!C115="","",P_DIS!C115)</f>
        <v/>
      </c>
      <c r="C78" s="282" t="str">
        <f>IF(P_DIS!$T$29="","",P_DIS!$T$29)</f>
        <v/>
      </c>
      <c r="D78" s="281" t="str">
        <f>P_DIS!Q115</f>
        <v>-</v>
      </c>
    </row>
    <row r="79" spans="1:4">
      <c r="A79" s="280">
        <f>P_DIS!B116</f>
        <v>71</v>
      </c>
      <c r="B79" s="281" t="str">
        <f>IF(P_DIS!C116="","",P_DIS!C116)</f>
        <v/>
      </c>
      <c r="C79" s="282" t="str">
        <f>IF(P_DIS!$T$29="","",P_DIS!$T$29)</f>
        <v/>
      </c>
      <c r="D79" s="281" t="str">
        <f>P_DIS!Q116</f>
        <v>-</v>
      </c>
    </row>
    <row r="80" spans="1:4">
      <c r="A80" s="280">
        <f>P_DIS!B117</f>
        <v>72</v>
      </c>
      <c r="B80" s="281" t="str">
        <f>IF(P_DIS!C117="","",P_DIS!C117)</f>
        <v/>
      </c>
      <c r="C80" s="282" t="str">
        <f>IF(P_DIS!$T$29="","",P_DIS!$T$29)</f>
        <v/>
      </c>
      <c r="D80" s="281" t="str">
        <f>P_DIS!Q117</f>
        <v>-</v>
      </c>
    </row>
    <row r="81" spans="1:4">
      <c r="A81" s="280">
        <f>P_DIS!B118</f>
        <v>73</v>
      </c>
      <c r="B81" s="281" t="str">
        <f>IF(P_DIS!C118="","",P_DIS!C118)</f>
        <v/>
      </c>
      <c r="C81" s="282" t="str">
        <f>IF(P_DIS!$T$29="","",P_DIS!$T$29)</f>
        <v/>
      </c>
      <c r="D81" s="281" t="str">
        <f>P_DIS!Q118</f>
        <v>-</v>
      </c>
    </row>
    <row r="82" spans="1:4">
      <c r="A82" s="280">
        <f>P_DIS!B119</f>
        <v>74</v>
      </c>
      <c r="B82" s="281" t="str">
        <f>IF(P_DIS!C119="","",P_DIS!C119)</f>
        <v/>
      </c>
      <c r="C82" s="282" t="str">
        <f>IF(P_DIS!$T$29="","",P_DIS!$T$29)</f>
        <v/>
      </c>
      <c r="D82" s="281" t="str">
        <f>P_DIS!Q119</f>
        <v>-</v>
      </c>
    </row>
    <row r="83" spans="1:4">
      <c r="A83" s="280">
        <f>P_DIS!B120</f>
        <v>75</v>
      </c>
      <c r="B83" s="281" t="str">
        <f>IF(P_DIS!C120="","",P_DIS!C120)</f>
        <v/>
      </c>
      <c r="C83" s="282" t="str">
        <f>IF(P_DIS!$T$29="","",P_DIS!$T$29)</f>
        <v/>
      </c>
      <c r="D83" s="281" t="str">
        <f>P_DIS!Q120</f>
        <v>-</v>
      </c>
    </row>
    <row r="84" spans="1:4">
      <c r="A84" s="280">
        <f>P_DIS!B121</f>
        <v>76</v>
      </c>
      <c r="B84" s="281" t="str">
        <f>IF(P_DIS!C121="","",P_DIS!C121)</f>
        <v/>
      </c>
      <c r="C84" s="282" t="str">
        <f>IF(P_DIS!$T$29="","",P_DIS!$T$29)</f>
        <v/>
      </c>
      <c r="D84" s="281" t="str">
        <f>P_DIS!Q121</f>
        <v>-</v>
      </c>
    </row>
    <row r="85" spans="1:4">
      <c r="A85" s="280">
        <f>P_DIS!B122</f>
        <v>77</v>
      </c>
      <c r="B85" s="281" t="str">
        <f>IF(P_DIS!C122="","",P_DIS!C122)</f>
        <v/>
      </c>
      <c r="C85" s="282" t="str">
        <f>IF(P_DIS!$T$29="","",P_DIS!$T$29)</f>
        <v/>
      </c>
      <c r="D85" s="281" t="str">
        <f>P_DIS!Q122</f>
        <v>-</v>
      </c>
    </row>
    <row r="86" spans="1:4">
      <c r="A86" s="280">
        <f>P_DIS!B123</f>
        <v>78</v>
      </c>
      <c r="B86" s="281" t="str">
        <f>IF(P_DIS!C123="","",P_DIS!C123)</f>
        <v/>
      </c>
      <c r="C86" s="282" t="str">
        <f>IF(P_DIS!$T$29="","",P_DIS!$T$29)</f>
        <v/>
      </c>
      <c r="D86" s="281" t="str">
        <f>P_DIS!Q123</f>
        <v>-</v>
      </c>
    </row>
    <row r="87" spans="1:4">
      <c r="A87" s="280">
        <f>P_DIS!B124</f>
        <v>79</v>
      </c>
      <c r="B87" s="281" t="str">
        <f>IF(P_DIS!C124="","",P_DIS!C124)</f>
        <v/>
      </c>
      <c r="C87" s="282" t="str">
        <f>IF(P_DIS!$T$29="","",P_DIS!$T$29)</f>
        <v/>
      </c>
      <c r="D87" s="281" t="str">
        <f>P_DIS!Q124</f>
        <v>-</v>
      </c>
    </row>
    <row r="88" spans="1:4">
      <c r="A88" s="280">
        <f>P_DIS!B125</f>
        <v>80</v>
      </c>
      <c r="B88" s="281" t="str">
        <f>IF(P_DIS!C125="","",P_DIS!C125)</f>
        <v/>
      </c>
      <c r="C88" s="282" t="str">
        <f>IF(P_DIS!$T$29="","",P_DIS!$T$29)</f>
        <v/>
      </c>
      <c r="D88" s="281" t="str">
        <f>P_DIS!Q125</f>
        <v>-</v>
      </c>
    </row>
    <row r="89" spans="1:4">
      <c r="A89" s="280">
        <f>P_DIS!B129</f>
        <v>81</v>
      </c>
      <c r="B89" s="281" t="str">
        <f>IF(P_DIS!C129="","",P_DIS!C129)</f>
        <v/>
      </c>
      <c r="C89" s="282" t="str">
        <f>IF(P_DIS!$T$29="","",P_DIS!$T$29)</f>
        <v/>
      </c>
      <c r="D89" s="281" t="str">
        <f>P_DIS!Q129</f>
        <v>-</v>
      </c>
    </row>
    <row r="90" spans="1:4">
      <c r="A90" s="280">
        <f>P_DIS!B130</f>
        <v>82</v>
      </c>
      <c r="B90" s="281" t="str">
        <f>IF(P_DIS!C130="","",P_DIS!C130)</f>
        <v/>
      </c>
      <c r="C90" s="282" t="str">
        <f>IF(P_DIS!$T$29="","",P_DIS!$T$29)</f>
        <v/>
      </c>
      <c r="D90" s="281" t="str">
        <f>P_DIS!Q130</f>
        <v>-</v>
      </c>
    </row>
    <row r="91" spans="1:4">
      <c r="A91" s="280">
        <f>P_DIS!B131</f>
        <v>83</v>
      </c>
      <c r="B91" s="281" t="str">
        <f>IF(P_DIS!C131="","",P_DIS!C131)</f>
        <v/>
      </c>
      <c r="C91" s="282" t="str">
        <f>IF(P_DIS!$T$29="","",P_DIS!$T$29)</f>
        <v/>
      </c>
      <c r="D91" s="281" t="str">
        <f>P_DIS!Q131</f>
        <v>-</v>
      </c>
    </row>
    <row r="92" spans="1:4">
      <c r="A92" s="280">
        <f>P_DIS!B132</f>
        <v>84</v>
      </c>
      <c r="B92" s="281" t="str">
        <f>IF(P_DIS!C132="","",P_DIS!C132)</f>
        <v/>
      </c>
      <c r="C92" s="282" t="str">
        <f>IF(P_DIS!$T$29="","",P_DIS!$T$29)</f>
        <v/>
      </c>
      <c r="D92" s="281" t="str">
        <f>P_DIS!Q132</f>
        <v>-</v>
      </c>
    </row>
    <row r="93" spans="1:4">
      <c r="A93" s="280">
        <f>P_DIS!B133</f>
        <v>85</v>
      </c>
      <c r="B93" s="281" t="str">
        <f>IF(P_DIS!C133="","",P_DIS!C133)</f>
        <v/>
      </c>
      <c r="C93" s="282" t="str">
        <f>IF(P_DIS!$T$29="","",P_DIS!$T$29)</f>
        <v/>
      </c>
      <c r="D93" s="281" t="str">
        <f>P_DIS!Q133</f>
        <v>-</v>
      </c>
    </row>
    <row r="94" spans="1:4">
      <c r="A94" s="280">
        <f>P_DIS!B134</f>
        <v>86</v>
      </c>
      <c r="B94" s="281" t="str">
        <f>IF(P_DIS!C134="","",P_DIS!C134)</f>
        <v/>
      </c>
      <c r="C94" s="282" t="str">
        <f>IF(P_DIS!$T$29="","",P_DIS!$T$29)</f>
        <v/>
      </c>
      <c r="D94" s="281" t="str">
        <f>P_DIS!Q134</f>
        <v>-</v>
      </c>
    </row>
    <row r="95" spans="1:4">
      <c r="A95" s="280">
        <f>P_DIS!B135</f>
        <v>87</v>
      </c>
      <c r="B95" s="281" t="str">
        <f>IF(P_DIS!C135="","",P_DIS!C135)</f>
        <v/>
      </c>
      <c r="C95" s="282" t="str">
        <f>IF(P_DIS!$T$29="","",P_DIS!$T$29)</f>
        <v/>
      </c>
      <c r="D95" s="281" t="str">
        <f>P_DIS!Q135</f>
        <v>-</v>
      </c>
    </row>
    <row r="96" spans="1:4">
      <c r="A96" s="280">
        <f>P_DIS!B136</f>
        <v>88</v>
      </c>
      <c r="B96" s="281" t="str">
        <f>IF(P_DIS!C136="","",P_DIS!C136)</f>
        <v/>
      </c>
      <c r="C96" s="282" t="str">
        <f>IF(P_DIS!$T$29="","",P_DIS!$T$29)</f>
        <v/>
      </c>
      <c r="D96" s="281" t="str">
        <f>P_DIS!Q136</f>
        <v>-</v>
      </c>
    </row>
    <row r="97" spans="1:4">
      <c r="A97" s="280">
        <f>P_DIS!B137</f>
        <v>89</v>
      </c>
      <c r="B97" s="281" t="str">
        <f>IF(P_DIS!C137="","",P_DIS!C137)</f>
        <v/>
      </c>
      <c r="C97" s="282" t="str">
        <f>IF(P_DIS!$T$29="","",P_DIS!$T$29)</f>
        <v/>
      </c>
      <c r="D97" s="281" t="str">
        <f>P_DIS!Q137</f>
        <v>-</v>
      </c>
    </row>
    <row r="98" spans="1:4">
      <c r="A98" s="280">
        <f>P_DIS!B138</f>
        <v>90</v>
      </c>
      <c r="B98" s="281" t="str">
        <f>IF(P_DIS!C138="","",P_DIS!C138)</f>
        <v/>
      </c>
      <c r="C98" s="282" t="str">
        <f>IF(P_DIS!$T$29="","",P_DIS!$T$29)</f>
        <v/>
      </c>
      <c r="D98" s="281" t="str">
        <f>P_DIS!Q138</f>
        <v>-</v>
      </c>
    </row>
    <row r="99" spans="1:4">
      <c r="A99" s="280">
        <f>P_DIS!B139</f>
        <v>91</v>
      </c>
      <c r="B99" s="281" t="str">
        <f>IF(P_DIS!C139="","",P_DIS!C139)</f>
        <v/>
      </c>
      <c r="C99" s="282" t="str">
        <f>IF(P_DIS!$T$29="","",P_DIS!$T$29)</f>
        <v/>
      </c>
      <c r="D99" s="281" t="str">
        <f>P_DIS!Q139</f>
        <v>-</v>
      </c>
    </row>
    <row r="100" spans="1:4">
      <c r="A100" s="280">
        <f>P_DIS!B140</f>
        <v>92</v>
      </c>
      <c r="B100" s="281" t="str">
        <f>IF(P_DIS!C140="","",P_DIS!C140)</f>
        <v/>
      </c>
      <c r="C100" s="282" t="str">
        <f>IF(P_DIS!$T$29="","",P_DIS!$T$29)</f>
        <v/>
      </c>
      <c r="D100" s="281" t="str">
        <f>P_DIS!Q140</f>
        <v>-</v>
      </c>
    </row>
    <row r="101" spans="1:4">
      <c r="A101" s="280">
        <f>P_DIS!B141</f>
        <v>93</v>
      </c>
      <c r="B101" s="281" t="str">
        <f>IF(P_DIS!C141="","",P_DIS!C141)</f>
        <v/>
      </c>
      <c r="C101" s="282" t="str">
        <f>IF(P_DIS!$T$29="","",P_DIS!$T$29)</f>
        <v/>
      </c>
      <c r="D101" s="281" t="str">
        <f>P_DIS!Q141</f>
        <v>-</v>
      </c>
    </row>
    <row r="102" spans="1:4">
      <c r="A102" s="280">
        <f>P_DIS!B142</f>
        <v>94</v>
      </c>
      <c r="B102" s="281" t="str">
        <f>IF(P_DIS!C142="","",P_DIS!C142)</f>
        <v/>
      </c>
      <c r="C102" s="282" t="str">
        <f>IF(P_DIS!$T$29="","",P_DIS!$T$29)</f>
        <v/>
      </c>
      <c r="D102" s="281" t="str">
        <f>P_DIS!Q142</f>
        <v>-</v>
      </c>
    </row>
    <row r="103" spans="1:4">
      <c r="A103" s="280">
        <f>P_DIS!B143</f>
        <v>95</v>
      </c>
      <c r="B103" s="281" t="str">
        <f>IF(P_DIS!C143="","",P_DIS!C143)</f>
        <v/>
      </c>
      <c r="C103" s="282" t="str">
        <f>IF(P_DIS!$T$29="","",P_DIS!$T$29)</f>
        <v/>
      </c>
      <c r="D103" s="281" t="str">
        <f>P_DIS!Q143</f>
        <v>-</v>
      </c>
    </row>
    <row r="104" spans="1:4">
      <c r="A104" s="280">
        <f>P_DIS!B144</f>
        <v>96</v>
      </c>
      <c r="B104" s="281" t="str">
        <f>IF(P_DIS!C144="","",P_DIS!C144)</f>
        <v/>
      </c>
      <c r="C104" s="282" t="str">
        <f>IF(P_DIS!$T$29="","",P_DIS!$T$29)</f>
        <v/>
      </c>
      <c r="D104" s="281" t="str">
        <f>P_DIS!Q144</f>
        <v>-</v>
      </c>
    </row>
    <row r="105" spans="1:4">
      <c r="A105" s="280">
        <f>P_DIS!B145</f>
        <v>97</v>
      </c>
      <c r="B105" s="281" t="str">
        <f>IF(P_DIS!C145="","",P_DIS!C145)</f>
        <v/>
      </c>
      <c r="C105" s="282" t="str">
        <f>IF(P_DIS!$T$29="","",P_DIS!$T$29)</f>
        <v/>
      </c>
      <c r="D105" s="281" t="str">
        <f>P_DIS!Q145</f>
        <v>-</v>
      </c>
    </row>
    <row r="106" spans="1:4">
      <c r="A106" s="280">
        <f>P_DIS!B146</f>
        <v>98</v>
      </c>
      <c r="B106" s="281" t="str">
        <f>IF(P_DIS!C146="","",P_DIS!C146)</f>
        <v/>
      </c>
      <c r="C106" s="282" t="str">
        <f>IF(P_DIS!$T$29="","",P_DIS!$T$29)</f>
        <v/>
      </c>
      <c r="D106" s="281" t="str">
        <f>P_DIS!Q146</f>
        <v>-</v>
      </c>
    </row>
    <row r="107" spans="1:4">
      <c r="A107" s="280">
        <f>P_DIS!B147</f>
        <v>99</v>
      </c>
      <c r="B107" s="281" t="str">
        <f>IF(P_DIS!C147="","",P_DIS!C147)</f>
        <v/>
      </c>
      <c r="C107" s="282" t="str">
        <f>IF(P_DIS!$T$29="","",P_DIS!$T$29)</f>
        <v/>
      </c>
      <c r="D107" s="281" t="str">
        <f>P_DIS!Q147</f>
        <v>-</v>
      </c>
    </row>
    <row r="108" spans="1:4">
      <c r="A108" s="280">
        <f>P_DIS!B148</f>
        <v>100</v>
      </c>
      <c r="B108" s="281" t="str">
        <f>IF(P_DIS!C148="","",P_DIS!C148)</f>
        <v/>
      </c>
      <c r="C108" s="282" t="str">
        <f>IF(P_DIS!$T$29="","",P_DIS!$T$29)</f>
        <v/>
      </c>
      <c r="D108" s="281" t="str">
        <f>P_DIS!Q148</f>
        <v>-</v>
      </c>
    </row>
    <row r="109" spans="1:4">
      <c r="A109" s="280">
        <f>P_DIS!B152</f>
        <v>101</v>
      </c>
      <c r="B109" s="281" t="str">
        <f>IF(P_DIS!C152="","",P_DIS!C152)</f>
        <v/>
      </c>
      <c r="C109" s="282" t="str">
        <f>IF(P_DIS!$T$29="","",P_DIS!$T$29)</f>
        <v/>
      </c>
      <c r="D109" s="281" t="str">
        <f>P_DIS!Q152</f>
        <v>-</v>
      </c>
    </row>
    <row r="110" spans="1:4">
      <c r="A110" s="280">
        <f>P_DIS!B153</f>
        <v>102</v>
      </c>
      <c r="B110" s="281" t="str">
        <f>IF(P_DIS!C153="","",P_DIS!C153)</f>
        <v/>
      </c>
      <c r="C110" s="282" t="str">
        <f>IF(P_DIS!$T$29="","",P_DIS!$T$29)</f>
        <v/>
      </c>
      <c r="D110" s="281" t="str">
        <f>P_DIS!Q153</f>
        <v>-</v>
      </c>
    </row>
    <row r="111" spans="1:4">
      <c r="A111" s="280">
        <f>P_DIS!B154</f>
        <v>103</v>
      </c>
      <c r="B111" s="281" t="str">
        <f>IF(P_DIS!C154="","",P_DIS!C154)</f>
        <v/>
      </c>
      <c r="C111" s="282" t="str">
        <f>IF(P_DIS!$T$29="","",P_DIS!$T$29)</f>
        <v/>
      </c>
      <c r="D111" s="281" t="str">
        <f>P_DIS!Q154</f>
        <v>-</v>
      </c>
    </row>
    <row r="112" spans="1:4">
      <c r="A112" s="280">
        <f>P_DIS!B155</f>
        <v>104</v>
      </c>
      <c r="B112" s="281" t="str">
        <f>IF(P_DIS!C155="","",P_DIS!C155)</f>
        <v/>
      </c>
      <c r="C112" s="282" t="str">
        <f>IF(P_DIS!$T$29="","",P_DIS!$T$29)</f>
        <v/>
      </c>
      <c r="D112" s="281" t="str">
        <f>P_DIS!Q155</f>
        <v>-</v>
      </c>
    </row>
    <row r="113" spans="1:4">
      <c r="A113" s="280">
        <f>P_DIS!B156</f>
        <v>105</v>
      </c>
      <c r="B113" s="281" t="str">
        <f>IF(P_DIS!C156="","",P_DIS!C156)</f>
        <v/>
      </c>
      <c r="C113" s="282" t="str">
        <f>IF(P_DIS!$T$29="","",P_DIS!$T$29)</f>
        <v/>
      </c>
      <c r="D113" s="281" t="str">
        <f>P_DIS!Q156</f>
        <v>-</v>
      </c>
    </row>
    <row r="114" spans="1:4">
      <c r="A114" s="280">
        <f>P_DIS!B157</f>
        <v>106</v>
      </c>
      <c r="B114" s="281" t="str">
        <f>IF(P_DIS!C157="","",P_DIS!C157)</f>
        <v/>
      </c>
      <c r="C114" s="282" t="str">
        <f>IF(P_DIS!$T$29="","",P_DIS!$T$29)</f>
        <v/>
      </c>
      <c r="D114" s="281" t="str">
        <f>P_DIS!Q157</f>
        <v>-</v>
      </c>
    </row>
    <row r="115" spans="1:4">
      <c r="A115" s="280">
        <f>P_DIS!B158</f>
        <v>107</v>
      </c>
      <c r="B115" s="281" t="str">
        <f>IF(P_DIS!C158="","",P_DIS!C158)</f>
        <v/>
      </c>
      <c r="C115" s="282" t="str">
        <f>IF(P_DIS!$T$29="","",P_DIS!$T$29)</f>
        <v/>
      </c>
      <c r="D115" s="281" t="str">
        <f>P_DIS!Q158</f>
        <v>-</v>
      </c>
    </row>
    <row r="116" spans="1:4">
      <c r="A116" s="280">
        <f>P_DIS!B159</f>
        <v>108</v>
      </c>
      <c r="B116" s="281" t="str">
        <f>IF(P_DIS!C159="","",P_DIS!C159)</f>
        <v/>
      </c>
      <c r="C116" s="282" t="str">
        <f>IF(P_DIS!$T$29="","",P_DIS!$T$29)</f>
        <v/>
      </c>
      <c r="D116" s="281" t="str">
        <f>P_DIS!Q159</f>
        <v>-</v>
      </c>
    </row>
    <row r="117" spans="1:4">
      <c r="A117" s="280">
        <f>P_DIS!B160</f>
        <v>109</v>
      </c>
      <c r="B117" s="281" t="str">
        <f>IF(P_DIS!C160="","",P_DIS!C160)</f>
        <v/>
      </c>
      <c r="C117" s="282" t="str">
        <f>IF(P_DIS!$T$29="","",P_DIS!$T$29)</f>
        <v/>
      </c>
      <c r="D117" s="281" t="str">
        <f>P_DIS!Q160</f>
        <v>-</v>
      </c>
    </row>
    <row r="118" spans="1:4">
      <c r="A118" s="280">
        <f>P_DIS!B161</f>
        <v>110</v>
      </c>
      <c r="B118" s="281" t="str">
        <f>IF(P_DIS!C161="","",P_DIS!C161)</f>
        <v/>
      </c>
      <c r="C118" s="282" t="str">
        <f>IF(P_DIS!$T$29="","",P_DIS!$T$29)</f>
        <v/>
      </c>
      <c r="D118" s="281" t="str">
        <f>P_DIS!Q161</f>
        <v>-</v>
      </c>
    </row>
    <row r="119" spans="1:4">
      <c r="A119" s="280">
        <f>P_DIS!B162</f>
        <v>111</v>
      </c>
      <c r="B119" s="281" t="str">
        <f>IF(P_DIS!C162="","",P_DIS!C162)</f>
        <v/>
      </c>
      <c r="C119" s="282" t="str">
        <f>IF(P_DIS!$T$29="","",P_DIS!$T$29)</f>
        <v/>
      </c>
      <c r="D119" s="281" t="str">
        <f>P_DIS!Q162</f>
        <v>-</v>
      </c>
    </row>
    <row r="120" spans="1:4">
      <c r="A120" s="280">
        <f>P_DIS!B163</f>
        <v>112</v>
      </c>
      <c r="B120" s="281" t="str">
        <f>IF(P_DIS!C163="","",P_DIS!C163)</f>
        <v/>
      </c>
      <c r="C120" s="282" t="str">
        <f>IF(P_DIS!$T$29="","",P_DIS!$T$29)</f>
        <v/>
      </c>
      <c r="D120" s="281" t="str">
        <f>P_DIS!Q163</f>
        <v>-</v>
      </c>
    </row>
    <row r="121" spans="1:4">
      <c r="A121" s="280">
        <f>P_DIS!B164</f>
        <v>113</v>
      </c>
      <c r="B121" s="281" t="str">
        <f>IF(P_DIS!C164="","",P_DIS!C164)</f>
        <v/>
      </c>
      <c r="C121" s="282" t="str">
        <f>IF(P_DIS!$T$29="","",P_DIS!$T$29)</f>
        <v/>
      </c>
      <c r="D121" s="281" t="str">
        <f>P_DIS!Q164</f>
        <v>-</v>
      </c>
    </row>
    <row r="122" spans="1:4">
      <c r="A122" s="280">
        <f>P_DIS!B165</f>
        <v>114</v>
      </c>
      <c r="B122" s="281" t="str">
        <f>IF(P_DIS!C165="","",P_DIS!C165)</f>
        <v/>
      </c>
      <c r="C122" s="282" t="str">
        <f>IF(P_DIS!$T$29="","",P_DIS!$T$29)</f>
        <v/>
      </c>
      <c r="D122" s="281" t="str">
        <f>P_DIS!Q165</f>
        <v>-</v>
      </c>
    </row>
    <row r="123" spans="1:4">
      <c r="A123" s="280">
        <f>P_DIS!B166</f>
        <v>115</v>
      </c>
      <c r="B123" s="281" t="str">
        <f>IF(P_DIS!C166="","",P_DIS!C166)</f>
        <v/>
      </c>
      <c r="C123" s="282" t="str">
        <f>IF(P_DIS!$T$29="","",P_DIS!$T$29)</f>
        <v/>
      </c>
      <c r="D123" s="281" t="str">
        <f>P_DIS!Q166</f>
        <v>-</v>
      </c>
    </row>
    <row r="124" spans="1:4">
      <c r="A124" s="280">
        <f>P_DIS!B167</f>
        <v>116</v>
      </c>
      <c r="B124" s="281" t="str">
        <f>IF(P_DIS!C167="","",P_DIS!C167)</f>
        <v/>
      </c>
      <c r="C124" s="282" t="str">
        <f>IF(P_DIS!$T$29="","",P_DIS!$T$29)</f>
        <v/>
      </c>
      <c r="D124" s="281" t="str">
        <f>P_DIS!Q167</f>
        <v>-</v>
      </c>
    </row>
    <row r="125" spans="1:4">
      <c r="A125" s="280">
        <f>P_DIS!B168</f>
        <v>117</v>
      </c>
      <c r="B125" s="281" t="str">
        <f>IF(P_DIS!C168="","",P_DIS!C168)</f>
        <v/>
      </c>
      <c r="C125" s="282" t="str">
        <f>IF(P_DIS!$T$29="","",P_DIS!$T$29)</f>
        <v/>
      </c>
      <c r="D125" s="281" t="str">
        <f>P_DIS!Q168</f>
        <v>-</v>
      </c>
    </row>
    <row r="126" spans="1:4">
      <c r="A126" s="280">
        <f>P_DIS!B169</f>
        <v>118</v>
      </c>
      <c r="B126" s="281" t="str">
        <f>IF(P_DIS!C169="","",P_DIS!C169)</f>
        <v/>
      </c>
      <c r="C126" s="282" t="str">
        <f>IF(P_DIS!$T$29="","",P_DIS!$T$29)</f>
        <v/>
      </c>
      <c r="D126" s="281" t="str">
        <f>P_DIS!Q169</f>
        <v>-</v>
      </c>
    </row>
    <row r="127" spans="1:4">
      <c r="A127" s="280">
        <f>P_DIS!B170</f>
        <v>119</v>
      </c>
      <c r="B127" s="281" t="str">
        <f>IF(P_DIS!C170="","",P_DIS!C170)</f>
        <v/>
      </c>
      <c r="C127" s="282" t="str">
        <f>IF(P_DIS!$T$29="","",P_DIS!$T$29)</f>
        <v/>
      </c>
      <c r="D127" s="281" t="str">
        <f>P_DIS!Q170</f>
        <v>-</v>
      </c>
    </row>
    <row r="128" spans="1:4">
      <c r="A128" s="280">
        <f>P_DIS!B171</f>
        <v>120</v>
      </c>
      <c r="B128" s="281" t="str">
        <f>IF(P_DIS!C171="","",P_DIS!C171)</f>
        <v/>
      </c>
      <c r="C128" s="282" t="str">
        <f>IF(P_DIS!$T$29="","",P_DIS!$T$29)</f>
        <v/>
      </c>
      <c r="D128" s="281" t="str">
        <f>P_DIS!Q171</f>
        <v>-</v>
      </c>
    </row>
    <row r="129" spans="1:4">
      <c r="A129" s="280">
        <f>P_DIS!B175</f>
        <v>121</v>
      </c>
      <c r="B129" s="281" t="str">
        <f>IF(P_DIS!C175="","",P_DIS!C175)</f>
        <v/>
      </c>
      <c r="C129" s="282" t="str">
        <f>IF(P_DIS!$T$29="","",P_DIS!$T$29)</f>
        <v/>
      </c>
      <c r="D129" s="281" t="str">
        <f>P_DIS!Q175</f>
        <v>-</v>
      </c>
    </row>
    <row r="130" spans="1:4">
      <c r="A130" s="280">
        <f>P_DIS!B176</f>
        <v>122</v>
      </c>
      <c r="B130" s="281" t="str">
        <f>IF(P_DIS!C176="","",P_DIS!C176)</f>
        <v/>
      </c>
      <c r="C130" s="282" t="str">
        <f>IF(P_DIS!$T$29="","",P_DIS!$T$29)</f>
        <v/>
      </c>
      <c r="D130" s="281" t="str">
        <f>P_DIS!Q176</f>
        <v>-</v>
      </c>
    </row>
    <row r="131" spans="1:4">
      <c r="A131" s="280">
        <f>P_DIS!B177</f>
        <v>123</v>
      </c>
      <c r="B131" s="281" t="str">
        <f>IF(P_DIS!C177="","",P_DIS!C177)</f>
        <v/>
      </c>
      <c r="C131" s="282" t="str">
        <f>IF(P_DIS!$T$29="","",P_DIS!$T$29)</f>
        <v/>
      </c>
      <c r="D131" s="281" t="str">
        <f>P_DIS!Q177</f>
        <v>-</v>
      </c>
    </row>
    <row r="132" spans="1:4">
      <c r="A132" s="280">
        <f>P_DIS!B178</f>
        <v>124</v>
      </c>
      <c r="B132" s="281" t="str">
        <f>IF(P_DIS!C178="","",P_DIS!C178)</f>
        <v/>
      </c>
      <c r="C132" s="282" t="str">
        <f>IF(P_DIS!$T$29="","",P_DIS!$T$29)</f>
        <v/>
      </c>
      <c r="D132" s="281" t="str">
        <f>P_DIS!Q178</f>
        <v>-</v>
      </c>
    </row>
    <row r="133" spans="1:4">
      <c r="A133" s="280">
        <f>P_DIS!B179</f>
        <v>125</v>
      </c>
      <c r="B133" s="281" t="str">
        <f>IF(P_DIS!C179="","",P_DIS!C179)</f>
        <v/>
      </c>
      <c r="C133" s="282" t="str">
        <f>IF(P_DIS!$T$29="","",P_DIS!$T$29)</f>
        <v/>
      </c>
      <c r="D133" s="281" t="str">
        <f>P_DIS!Q179</f>
        <v>-</v>
      </c>
    </row>
    <row r="134" spans="1:4">
      <c r="A134" s="280">
        <f>P_DIS!B180</f>
        <v>126</v>
      </c>
      <c r="B134" s="281" t="str">
        <f>IF(P_DIS!C180="","",P_DIS!C180)</f>
        <v/>
      </c>
      <c r="C134" s="282" t="str">
        <f>IF(P_DIS!$T$29="","",P_DIS!$T$29)</f>
        <v/>
      </c>
      <c r="D134" s="281" t="str">
        <f>P_DIS!Q180</f>
        <v>-</v>
      </c>
    </row>
    <row r="135" spans="1:4">
      <c r="A135" s="280">
        <f>P_DIS!B181</f>
        <v>127</v>
      </c>
      <c r="B135" s="281" t="str">
        <f>IF(P_DIS!C181="","",P_DIS!C181)</f>
        <v/>
      </c>
      <c r="C135" s="282" t="str">
        <f>IF(P_DIS!$T$29="","",P_DIS!$T$29)</f>
        <v/>
      </c>
      <c r="D135" s="281" t="str">
        <f>P_DIS!Q181</f>
        <v>-</v>
      </c>
    </row>
    <row r="136" spans="1:4">
      <c r="A136" s="280">
        <f>P_DIS!B182</f>
        <v>128</v>
      </c>
      <c r="B136" s="281" t="str">
        <f>IF(P_DIS!C182="","",P_DIS!C182)</f>
        <v/>
      </c>
      <c r="C136" s="282" t="str">
        <f>IF(P_DIS!$T$29="","",P_DIS!$T$29)</f>
        <v/>
      </c>
      <c r="D136" s="281" t="str">
        <f>P_DIS!Q182</f>
        <v>-</v>
      </c>
    </row>
    <row r="137" spans="1:4">
      <c r="A137" s="280">
        <f>P_DIS!B183</f>
        <v>129</v>
      </c>
      <c r="B137" s="281" t="str">
        <f>IF(P_DIS!C183="","",P_DIS!C183)</f>
        <v/>
      </c>
      <c r="C137" s="282" t="str">
        <f>IF(P_DIS!$T$29="","",P_DIS!$T$29)</f>
        <v/>
      </c>
      <c r="D137" s="281" t="str">
        <f>P_DIS!Q183</f>
        <v>-</v>
      </c>
    </row>
    <row r="138" spans="1:4">
      <c r="A138" s="280">
        <f>P_DIS!B184</f>
        <v>130</v>
      </c>
      <c r="B138" s="281" t="str">
        <f>IF(P_DIS!C184="","",P_DIS!C184)</f>
        <v/>
      </c>
      <c r="C138" s="282" t="str">
        <f>IF(P_DIS!$T$29="","",P_DIS!$T$29)</f>
        <v/>
      </c>
      <c r="D138" s="281" t="str">
        <f>P_DIS!Q184</f>
        <v>-</v>
      </c>
    </row>
    <row r="139" spans="1:4">
      <c r="A139" s="280">
        <f>P_DIS!B185</f>
        <v>131</v>
      </c>
      <c r="B139" s="281" t="str">
        <f>IF(P_DIS!C185="","",P_DIS!C185)</f>
        <v/>
      </c>
      <c r="C139" s="282" t="str">
        <f>IF(P_DIS!$T$29="","",P_DIS!$T$29)</f>
        <v/>
      </c>
      <c r="D139" s="281" t="str">
        <f>P_DIS!Q185</f>
        <v>-</v>
      </c>
    </row>
    <row r="140" spans="1:4">
      <c r="A140" s="280">
        <f>P_DIS!B186</f>
        <v>132</v>
      </c>
      <c r="B140" s="281" t="str">
        <f>IF(P_DIS!C186="","",P_DIS!C186)</f>
        <v/>
      </c>
      <c r="C140" s="282" t="str">
        <f>IF(P_DIS!$T$29="","",P_DIS!$T$29)</f>
        <v/>
      </c>
      <c r="D140" s="281" t="str">
        <f>P_DIS!Q186</f>
        <v>-</v>
      </c>
    </row>
    <row r="141" spans="1:4">
      <c r="A141" s="280">
        <f>P_DIS!B187</f>
        <v>133</v>
      </c>
      <c r="B141" s="281" t="str">
        <f>IF(P_DIS!C187="","",P_DIS!C187)</f>
        <v/>
      </c>
      <c r="C141" s="282" t="str">
        <f>IF(P_DIS!$T$29="","",P_DIS!$T$29)</f>
        <v/>
      </c>
      <c r="D141" s="281" t="str">
        <f>P_DIS!Q187</f>
        <v>-</v>
      </c>
    </row>
    <row r="142" spans="1:4">
      <c r="A142" s="280">
        <f>P_DIS!B188</f>
        <v>134</v>
      </c>
      <c r="B142" s="281" t="str">
        <f>IF(P_DIS!C188="","",P_DIS!C188)</f>
        <v/>
      </c>
      <c r="C142" s="282" t="str">
        <f>IF(P_DIS!$T$29="","",P_DIS!$T$29)</f>
        <v/>
      </c>
      <c r="D142" s="281" t="str">
        <f>P_DIS!Q188</f>
        <v>-</v>
      </c>
    </row>
    <row r="143" spans="1:4">
      <c r="A143" s="280">
        <f>P_DIS!B189</f>
        <v>135</v>
      </c>
      <c r="B143" s="281" t="str">
        <f>IF(P_DIS!C189="","",P_DIS!C189)</f>
        <v/>
      </c>
      <c r="C143" s="282" t="str">
        <f>IF(P_DIS!$T$29="","",P_DIS!$T$29)</f>
        <v/>
      </c>
      <c r="D143" s="281" t="str">
        <f>P_DIS!Q189</f>
        <v>-</v>
      </c>
    </row>
    <row r="144" spans="1:4">
      <c r="A144" s="280">
        <f>P_DIS!B190</f>
        <v>136</v>
      </c>
      <c r="B144" s="281" t="str">
        <f>IF(P_DIS!C190="","",P_DIS!C190)</f>
        <v/>
      </c>
      <c r="C144" s="282" t="str">
        <f>IF(P_DIS!$T$29="","",P_DIS!$T$29)</f>
        <v/>
      </c>
      <c r="D144" s="281" t="str">
        <f>P_DIS!Q190</f>
        <v>-</v>
      </c>
    </row>
    <row r="145" spans="1:4">
      <c r="A145" s="280">
        <f>P_DIS!B191</f>
        <v>137</v>
      </c>
      <c r="B145" s="281" t="str">
        <f>IF(P_DIS!C191="","",P_DIS!C191)</f>
        <v/>
      </c>
      <c r="C145" s="282" t="str">
        <f>IF(P_DIS!$T$29="","",P_DIS!$T$29)</f>
        <v/>
      </c>
      <c r="D145" s="281" t="str">
        <f>P_DIS!Q191</f>
        <v>-</v>
      </c>
    </row>
    <row r="146" spans="1:4">
      <c r="A146" s="280">
        <f>P_DIS!B192</f>
        <v>138</v>
      </c>
      <c r="B146" s="281" t="str">
        <f>IF(P_DIS!C192="","",P_DIS!C192)</f>
        <v/>
      </c>
      <c r="C146" s="282" t="str">
        <f>IF(P_DIS!$T$29="","",P_DIS!$T$29)</f>
        <v/>
      </c>
      <c r="D146" s="281" t="str">
        <f>P_DIS!Q192</f>
        <v>-</v>
      </c>
    </row>
    <row r="147" spans="1:4">
      <c r="A147" s="280">
        <f>P_DIS!B193</f>
        <v>139</v>
      </c>
      <c r="B147" s="281" t="str">
        <f>IF(P_DIS!C193="","",P_DIS!C193)</f>
        <v/>
      </c>
      <c r="C147" s="282" t="str">
        <f>IF(P_DIS!$T$29="","",P_DIS!$T$29)</f>
        <v/>
      </c>
      <c r="D147" s="281" t="str">
        <f>P_DIS!Q193</f>
        <v>-</v>
      </c>
    </row>
    <row r="148" spans="1:4">
      <c r="A148" s="280">
        <f>P_DIS!B194</f>
        <v>140</v>
      </c>
      <c r="B148" s="281" t="str">
        <f>IF(P_DIS!C194="","",P_DIS!C194)</f>
        <v/>
      </c>
      <c r="C148" s="282" t="str">
        <f>IF(P_DIS!$T$29="","",P_DIS!$T$29)</f>
        <v/>
      </c>
      <c r="D148" s="281" t="str">
        <f>P_DIS!Q194</f>
        <v>-</v>
      </c>
    </row>
    <row r="149" spans="1:4">
      <c r="A149" s="280">
        <f>P_DIS!B198</f>
        <v>141</v>
      </c>
      <c r="B149" s="281" t="str">
        <f>IF(P_DIS!C198="","",P_DIS!C198)</f>
        <v/>
      </c>
      <c r="C149" s="282" t="str">
        <f>IF(P_DIS!$T$29="","",P_DIS!$T$29)</f>
        <v/>
      </c>
      <c r="D149" s="281" t="str">
        <f>P_DIS!Q198</f>
        <v>-</v>
      </c>
    </row>
    <row r="150" spans="1:4">
      <c r="A150" s="280">
        <f>P_DIS!B199</f>
        <v>142</v>
      </c>
      <c r="B150" s="281" t="str">
        <f>IF(P_DIS!C199="","",P_DIS!C199)</f>
        <v/>
      </c>
      <c r="C150" s="282" t="str">
        <f>IF(P_DIS!$T$29="","",P_DIS!$T$29)</f>
        <v/>
      </c>
      <c r="D150" s="281" t="str">
        <f>P_DIS!Q199</f>
        <v>-</v>
      </c>
    </row>
    <row r="151" spans="1:4">
      <c r="A151" s="280">
        <f>P_DIS!B200</f>
        <v>143</v>
      </c>
      <c r="B151" s="281" t="str">
        <f>IF(P_DIS!C200="","",P_DIS!C200)</f>
        <v/>
      </c>
      <c r="C151" s="282" t="str">
        <f>IF(P_DIS!$T$29="","",P_DIS!$T$29)</f>
        <v/>
      </c>
      <c r="D151" s="281" t="str">
        <f>P_DIS!Q200</f>
        <v>-</v>
      </c>
    </row>
    <row r="152" spans="1:4">
      <c r="A152" s="280">
        <f>P_DIS!B201</f>
        <v>144</v>
      </c>
      <c r="B152" s="281" t="str">
        <f>IF(P_DIS!C201="","",P_DIS!C201)</f>
        <v/>
      </c>
      <c r="C152" s="282" t="str">
        <f>IF(P_DIS!$T$29="","",P_DIS!$T$29)</f>
        <v/>
      </c>
      <c r="D152" s="281" t="str">
        <f>P_DIS!Q201</f>
        <v>-</v>
      </c>
    </row>
    <row r="153" spans="1:4">
      <c r="A153" s="280">
        <f>P_DIS!B202</f>
        <v>145</v>
      </c>
      <c r="B153" s="281" t="str">
        <f>IF(P_DIS!C202="","",P_DIS!C202)</f>
        <v/>
      </c>
      <c r="C153" s="282" t="str">
        <f>IF(P_DIS!$T$29="","",P_DIS!$T$29)</f>
        <v/>
      </c>
      <c r="D153" s="281" t="str">
        <f>P_DIS!Q202</f>
        <v>-</v>
      </c>
    </row>
    <row r="154" spans="1:4">
      <c r="A154" s="280">
        <f>P_DIS!B203</f>
        <v>146</v>
      </c>
      <c r="B154" s="281" t="str">
        <f>IF(P_DIS!C203="","",P_DIS!C203)</f>
        <v/>
      </c>
      <c r="C154" s="282" t="str">
        <f>IF(P_DIS!$T$29="","",P_DIS!$T$29)</f>
        <v/>
      </c>
      <c r="D154" s="281" t="str">
        <f>P_DIS!Q203</f>
        <v>-</v>
      </c>
    </row>
    <row r="155" spans="1:4">
      <c r="A155" s="280">
        <f>P_DIS!B204</f>
        <v>147</v>
      </c>
      <c r="B155" s="281" t="str">
        <f>IF(P_DIS!C204="","",P_DIS!C204)</f>
        <v/>
      </c>
      <c r="C155" s="282" t="str">
        <f>IF(P_DIS!$T$29="","",P_DIS!$T$29)</f>
        <v/>
      </c>
      <c r="D155" s="281" t="str">
        <f>P_DIS!Q204</f>
        <v>-</v>
      </c>
    </row>
    <row r="156" spans="1:4">
      <c r="A156" s="280">
        <f>P_DIS!B205</f>
        <v>148</v>
      </c>
      <c r="B156" s="281" t="str">
        <f>IF(P_DIS!C205="","",P_DIS!C205)</f>
        <v/>
      </c>
      <c r="C156" s="282" t="str">
        <f>IF(P_DIS!$T$29="","",P_DIS!$T$29)</f>
        <v/>
      </c>
      <c r="D156" s="281" t="str">
        <f>P_DIS!Q205</f>
        <v>-</v>
      </c>
    </row>
    <row r="157" spans="1:4">
      <c r="A157" s="280">
        <f>P_DIS!B206</f>
        <v>149</v>
      </c>
      <c r="B157" s="281" t="str">
        <f>IF(P_DIS!C206="","",P_DIS!C206)</f>
        <v/>
      </c>
      <c r="C157" s="282" t="str">
        <f>IF(P_DIS!$T$29="","",P_DIS!$T$29)</f>
        <v/>
      </c>
      <c r="D157" s="281" t="str">
        <f>P_DIS!Q206</f>
        <v>-</v>
      </c>
    </row>
    <row r="158" spans="1:4">
      <c r="A158" s="280">
        <f>P_DIS!B207</f>
        <v>150</v>
      </c>
      <c r="B158" s="281" t="str">
        <f>IF(P_DIS!C207="","",P_DIS!C207)</f>
        <v/>
      </c>
      <c r="C158" s="282" t="str">
        <f>IF(P_DIS!$T$29="","",P_DIS!$T$29)</f>
        <v/>
      </c>
      <c r="D158" s="281" t="str">
        <f>P_DIS!Q207</f>
        <v>-</v>
      </c>
    </row>
    <row r="159" spans="1:4">
      <c r="A159" s="280">
        <f>P_DIS!B208</f>
        <v>151</v>
      </c>
      <c r="B159" s="281" t="str">
        <f>IF(P_DIS!C208="","",P_DIS!C208)</f>
        <v/>
      </c>
      <c r="C159" s="282" t="str">
        <f>IF(P_DIS!$T$29="","",P_DIS!$T$29)</f>
        <v/>
      </c>
      <c r="D159" s="281" t="str">
        <f>P_DIS!Q208</f>
        <v>-</v>
      </c>
    </row>
    <row r="160" spans="1:4">
      <c r="A160" s="280">
        <f>P_DIS!B209</f>
        <v>152</v>
      </c>
      <c r="B160" s="281" t="str">
        <f>IF(P_DIS!C209="","",P_DIS!C209)</f>
        <v/>
      </c>
      <c r="C160" s="282" t="str">
        <f>IF(P_DIS!$T$29="","",P_DIS!$T$29)</f>
        <v/>
      </c>
      <c r="D160" s="281" t="str">
        <f>P_DIS!Q209</f>
        <v>-</v>
      </c>
    </row>
    <row r="161" spans="1:4">
      <c r="A161" s="280">
        <f>P_DIS!B210</f>
        <v>153</v>
      </c>
      <c r="B161" s="281" t="str">
        <f>IF(P_DIS!C210="","",P_DIS!C210)</f>
        <v/>
      </c>
      <c r="C161" s="282" t="str">
        <f>IF(P_DIS!$T$29="","",P_DIS!$T$29)</f>
        <v/>
      </c>
      <c r="D161" s="281" t="str">
        <f>P_DIS!Q210</f>
        <v>-</v>
      </c>
    </row>
    <row r="162" spans="1:4">
      <c r="A162" s="280">
        <f>P_DIS!B211</f>
        <v>154</v>
      </c>
      <c r="B162" s="281" t="str">
        <f>IF(P_DIS!C211="","",P_DIS!C211)</f>
        <v/>
      </c>
      <c r="C162" s="282" t="str">
        <f>IF(P_DIS!$T$29="","",P_DIS!$T$29)</f>
        <v/>
      </c>
      <c r="D162" s="281" t="str">
        <f>P_DIS!Q211</f>
        <v>-</v>
      </c>
    </row>
    <row r="163" spans="1:4">
      <c r="A163" s="280">
        <f>P_DIS!B212</f>
        <v>155</v>
      </c>
      <c r="B163" s="281" t="str">
        <f>IF(P_DIS!C212="","",P_DIS!C212)</f>
        <v/>
      </c>
      <c r="C163" s="282" t="str">
        <f>IF(P_DIS!$T$29="","",P_DIS!$T$29)</f>
        <v/>
      </c>
      <c r="D163" s="281" t="str">
        <f>P_DIS!Q212</f>
        <v>-</v>
      </c>
    </row>
    <row r="164" spans="1:4">
      <c r="A164" s="280">
        <f>P_DIS!B213</f>
        <v>156</v>
      </c>
      <c r="B164" s="281" t="str">
        <f>IF(P_DIS!C213="","",P_DIS!C213)</f>
        <v/>
      </c>
      <c r="C164" s="282" t="str">
        <f>IF(P_DIS!$T$29="","",P_DIS!$T$29)</f>
        <v/>
      </c>
      <c r="D164" s="281" t="str">
        <f>P_DIS!Q213</f>
        <v>-</v>
      </c>
    </row>
    <row r="165" spans="1:4">
      <c r="A165" s="280">
        <f>P_DIS!B214</f>
        <v>157</v>
      </c>
      <c r="B165" s="281" t="str">
        <f>IF(P_DIS!C214="","",P_DIS!C214)</f>
        <v/>
      </c>
      <c r="C165" s="282" t="str">
        <f>IF(P_DIS!$T$29="","",P_DIS!$T$29)</f>
        <v/>
      </c>
      <c r="D165" s="281" t="str">
        <f>P_DIS!Q214</f>
        <v>-</v>
      </c>
    </row>
    <row r="166" spans="1:4">
      <c r="A166" s="280">
        <f>P_DIS!B215</f>
        <v>158</v>
      </c>
      <c r="B166" s="281" t="str">
        <f>IF(P_DIS!C215="","",P_DIS!C215)</f>
        <v/>
      </c>
      <c r="C166" s="282" t="str">
        <f>IF(P_DIS!$T$29="","",P_DIS!$T$29)</f>
        <v/>
      </c>
      <c r="D166" s="281" t="str">
        <f>P_DIS!Q215</f>
        <v>-</v>
      </c>
    </row>
    <row r="167" spans="1:4">
      <c r="A167" s="280">
        <f>P_DIS!B216</f>
        <v>159</v>
      </c>
      <c r="B167" s="281" t="str">
        <f>IF(P_DIS!C216="","",P_DIS!C216)</f>
        <v/>
      </c>
      <c r="C167" s="282" t="str">
        <f>IF(P_DIS!$T$29="","",P_DIS!$T$29)</f>
        <v/>
      </c>
      <c r="D167" s="281" t="str">
        <f>P_DIS!Q216</f>
        <v>-</v>
      </c>
    </row>
    <row r="168" spans="1:4">
      <c r="A168" s="280">
        <f>P_DIS!B217</f>
        <v>160</v>
      </c>
      <c r="B168" s="281" t="str">
        <f>IF(P_DIS!C217="","",P_DIS!C217)</f>
        <v/>
      </c>
      <c r="C168" s="282" t="str">
        <f>IF(P_DIS!$T$29="","",P_DIS!$T$29)</f>
        <v/>
      </c>
      <c r="D168" s="281" t="str">
        <f>P_DIS!Q217</f>
        <v>-</v>
      </c>
    </row>
    <row r="169" spans="1:4">
      <c r="A169" s="280">
        <f>P_DIS!B221</f>
        <v>161</v>
      </c>
      <c r="B169" s="281" t="str">
        <f>IF(P_DIS!C221="","",P_DIS!C221)</f>
        <v/>
      </c>
      <c r="C169" s="282" t="str">
        <f>IF(P_DIS!$T$29="","",P_DIS!$T$29)</f>
        <v/>
      </c>
      <c r="D169" s="281" t="str">
        <f>P_DIS!Q221</f>
        <v>-</v>
      </c>
    </row>
    <row r="170" spans="1:4">
      <c r="A170" s="280">
        <f>P_DIS!B222</f>
        <v>162</v>
      </c>
      <c r="B170" s="281" t="str">
        <f>IF(P_DIS!C222="","",P_DIS!C222)</f>
        <v/>
      </c>
      <c r="C170" s="282" t="str">
        <f>IF(P_DIS!$T$29="","",P_DIS!$T$29)</f>
        <v/>
      </c>
      <c r="D170" s="281" t="str">
        <f>P_DIS!Q222</f>
        <v>-</v>
      </c>
    </row>
    <row r="171" spans="1:4">
      <c r="A171" s="280">
        <f>P_DIS!B223</f>
        <v>163</v>
      </c>
      <c r="B171" s="281" t="str">
        <f>IF(P_DIS!C223="","",P_DIS!C223)</f>
        <v/>
      </c>
      <c r="C171" s="282" t="str">
        <f>IF(P_DIS!$T$29="","",P_DIS!$T$29)</f>
        <v/>
      </c>
      <c r="D171" s="281" t="str">
        <f>P_DIS!Q223</f>
        <v>-</v>
      </c>
    </row>
    <row r="172" spans="1:4">
      <c r="A172" s="280">
        <f>P_DIS!B224</f>
        <v>164</v>
      </c>
      <c r="B172" s="281" t="str">
        <f>IF(P_DIS!C224="","",P_DIS!C224)</f>
        <v/>
      </c>
      <c r="C172" s="282" t="str">
        <f>IF(P_DIS!$T$29="","",P_DIS!$T$29)</f>
        <v/>
      </c>
      <c r="D172" s="281" t="str">
        <f>P_DIS!Q224</f>
        <v>-</v>
      </c>
    </row>
    <row r="173" spans="1:4">
      <c r="A173" s="280">
        <f>P_DIS!B225</f>
        <v>165</v>
      </c>
      <c r="B173" s="281" t="str">
        <f>IF(P_DIS!C225="","",P_DIS!C225)</f>
        <v/>
      </c>
      <c r="C173" s="282" t="str">
        <f>IF(P_DIS!$T$29="","",P_DIS!$T$29)</f>
        <v/>
      </c>
      <c r="D173" s="281" t="str">
        <f>P_DIS!Q225</f>
        <v>-</v>
      </c>
    </row>
    <row r="174" spans="1:4">
      <c r="A174" s="280">
        <f>P_DIS!B226</f>
        <v>166</v>
      </c>
      <c r="B174" s="281" t="str">
        <f>IF(P_DIS!C226="","",P_DIS!C226)</f>
        <v/>
      </c>
      <c r="C174" s="282" t="str">
        <f>IF(P_DIS!$T$29="","",P_DIS!$T$29)</f>
        <v/>
      </c>
      <c r="D174" s="281" t="str">
        <f>P_DIS!Q226</f>
        <v>-</v>
      </c>
    </row>
    <row r="175" spans="1:4">
      <c r="A175" s="280">
        <f>P_DIS!B227</f>
        <v>167</v>
      </c>
      <c r="B175" s="281" t="str">
        <f>IF(P_DIS!C227="","",P_DIS!C227)</f>
        <v/>
      </c>
      <c r="C175" s="282" t="str">
        <f>IF(P_DIS!$T$29="","",P_DIS!$T$29)</f>
        <v/>
      </c>
      <c r="D175" s="281" t="str">
        <f>P_DIS!Q227</f>
        <v>-</v>
      </c>
    </row>
    <row r="176" spans="1:4">
      <c r="A176" s="280">
        <f>P_DIS!B228</f>
        <v>168</v>
      </c>
      <c r="B176" s="281" t="str">
        <f>IF(P_DIS!C228="","",P_DIS!C228)</f>
        <v/>
      </c>
      <c r="C176" s="282" t="str">
        <f>IF(P_DIS!$T$29="","",P_DIS!$T$29)</f>
        <v/>
      </c>
      <c r="D176" s="281" t="str">
        <f>P_DIS!Q228</f>
        <v>-</v>
      </c>
    </row>
    <row r="177" spans="1:4">
      <c r="A177" s="280">
        <f>P_DIS!B229</f>
        <v>169</v>
      </c>
      <c r="B177" s="281" t="str">
        <f>IF(P_DIS!C229="","",P_DIS!C229)</f>
        <v/>
      </c>
      <c r="C177" s="282" t="str">
        <f>IF(P_DIS!$T$29="","",P_DIS!$T$29)</f>
        <v/>
      </c>
      <c r="D177" s="281" t="str">
        <f>P_DIS!Q229</f>
        <v>-</v>
      </c>
    </row>
    <row r="178" spans="1:4">
      <c r="A178" s="280">
        <f>P_DIS!B230</f>
        <v>170</v>
      </c>
      <c r="B178" s="281" t="str">
        <f>IF(P_DIS!C230="","",P_DIS!C230)</f>
        <v/>
      </c>
      <c r="C178" s="282" t="str">
        <f>IF(P_DIS!$T$29="","",P_DIS!$T$29)</f>
        <v/>
      </c>
      <c r="D178" s="281" t="str">
        <f>P_DIS!Q230</f>
        <v>-</v>
      </c>
    </row>
    <row r="179" spans="1:4">
      <c r="A179" s="280">
        <f>P_DIS!B231</f>
        <v>171</v>
      </c>
      <c r="B179" s="281" t="str">
        <f>IF(P_DIS!C231="","",P_DIS!C231)</f>
        <v/>
      </c>
      <c r="C179" s="282" t="str">
        <f>IF(P_DIS!$T$29="","",P_DIS!$T$29)</f>
        <v/>
      </c>
      <c r="D179" s="281" t="str">
        <f>P_DIS!Q231</f>
        <v>-</v>
      </c>
    </row>
    <row r="180" spans="1:4">
      <c r="A180" s="280">
        <f>P_DIS!B232</f>
        <v>172</v>
      </c>
      <c r="B180" s="281" t="str">
        <f>IF(P_DIS!C232="","",P_DIS!C232)</f>
        <v/>
      </c>
      <c r="C180" s="282" t="str">
        <f>IF(P_DIS!$T$29="","",P_DIS!$T$29)</f>
        <v/>
      </c>
      <c r="D180" s="281" t="str">
        <f>P_DIS!Q232</f>
        <v>-</v>
      </c>
    </row>
    <row r="181" spans="1:4">
      <c r="A181" s="280">
        <f>P_DIS!B233</f>
        <v>173</v>
      </c>
      <c r="B181" s="281" t="str">
        <f>IF(P_DIS!C233="","",P_DIS!C233)</f>
        <v/>
      </c>
      <c r="C181" s="282" t="str">
        <f>IF(P_DIS!$T$29="","",P_DIS!$T$29)</f>
        <v/>
      </c>
      <c r="D181" s="281" t="str">
        <f>P_DIS!Q233</f>
        <v>-</v>
      </c>
    </row>
    <row r="182" spans="1:4">
      <c r="A182" s="280">
        <f>P_DIS!B234</f>
        <v>174</v>
      </c>
      <c r="B182" s="281" t="str">
        <f>IF(P_DIS!C234="","",P_DIS!C234)</f>
        <v/>
      </c>
      <c r="C182" s="282" t="str">
        <f>IF(P_DIS!$T$29="","",P_DIS!$T$29)</f>
        <v/>
      </c>
      <c r="D182" s="281" t="str">
        <f>P_DIS!Q234</f>
        <v>-</v>
      </c>
    </row>
    <row r="183" spans="1:4">
      <c r="A183" s="280">
        <f>P_DIS!B235</f>
        <v>175</v>
      </c>
      <c r="B183" s="281" t="str">
        <f>IF(P_DIS!C235="","",P_DIS!C235)</f>
        <v/>
      </c>
      <c r="C183" s="282" t="str">
        <f>IF(P_DIS!$T$29="","",P_DIS!$T$29)</f>
        <v/>
      </c>
      <c r="D183" s="281" t="str">
        <f>P_DIS!Q235</f>
        <v>-</v>
      </c>
    </row>
    <row r="184" spans="1:4">
      <c r="A184" s="280">
        <f>P_DIS!B236</f>
        <v>176</v>
      </c>
      <c r="B184" s="281" t="str">
        <f>IF(P_DIS!C236="","",P_DIS!C236)</f>
        <v/>
      </c>
      <c r="C184" s="282" t="str">
        <f>IF(P_DIS!$T$29="","",P_DIS!$T$29)</f>
        <v/>
      </c>
      <c r="D184" s="281" t="str">
        <f>P_DIS!Q236</f>
        <v>-</v>
      </c>
    </row>
    <row r="185" spans="1:4">
      <c r="A185" s="280">
        <f>P_DIS!B237</f>
        <v>177</v>
      </c>
      <c r="B185" s="281" t="str">
        <f>IF(P_DIS!C237="","",P_DIS!C237)</f>
        <v/>
      </c>
      <c r="C185" s="282" t="str">
        <f>IF(P_DIS!$T$29="","",P_DIS!$T$29)</f>
        <v/>
      </c>
      <c r="D185" s="281" t="str">
        <f>P_DIS!Q237</f>
        <v>-</v>
      </c>
    </row>
    <row r="186" spans="1:4">
      <c r="A186" s="280">
        <f>P_DIS!B238</f>
        <v>178</v>
      </c>
      <c r="B186" s="281" t="str">
        <f>IF(P_DIS!C238="","",P_DIS!C238)</f>
        <v/>
      </c>
      <c r="C186" s="282" t="str">
        <f>IF(P_DIS!$T$29="","",P_DIS!$T$29)</f>
        <v/>
      </c>
      <c r="D186" s="281" t="str">
        <f>P_DIS!Q238</f>
        <v>-</v>
      </c>
    </row>
    <row r="187" spans="1:4">
      <c r="A187" s="280">
        <f>P_DIS!B239</f>
        <v>179</v>
      </c>
      <c r="B187" s="281" t="str">
        <f>IF(P_DIS!C239="","",P_DIS!C239)</f>
        <v/>
      </c>
      <c r="C187" s="282" t="str">
        <f>IF(P_DIS!$T$29="","",P_DIS!$T$29)</f>
        <v/>
      </c>
      <c r="D187" s="281" t="str">
        <f>P_DIS!Q239</f>
        <v>-</v>
      </c>
    </row>
    <row r="188" spans="1:4">
      <c r="A188" s="280">
        <f>P_DIS!B240</f>
        <v>180</v>
      </c>
      <c r="B188" s="281" t="str">
        <f>IF(P_DIS!C240="","",P_DIS!C240)</f>
        <v/>
      </c>
      <c r="C188" s="282" t="str">
        <f>IF(P_DIS!$T$29="","",P_DIS!$T$29)</f>
        <v/>
      </c>
      <c r="D188" s="281" t="str">
        <f>P_DIS!Q240</f>
        <v>-</v>
      </c>
    </row>
    <row r="189" spans="1:4">
      <c r="A189" s="280">
        <f>P_DIS!B244</f>
        <v>181</v>
      </c>
      <c r="B189" s="281" t="str">
        <f>IF(P_DIS!C244="","",P_DIS!C244)</f>
        <v/>
      </c>
      <c r="C189" s="282" t="str">
        <f>IF(P_DIS!$T$29="","",P_DIS!$T$29)</f>
        <v/>
      </c>
      <c r="D189" s="281" t="str">
        <f>P_DIS!Q244</f>
        <v>-</v>
      </c>
    </row>
    <row r="190" spans="1:4">
      <c r="A190" s="280">
        <f>P_DIS!B245</f>
        <v>182</v>
      </c>
      <c r="B190" s="281" t="str">
        <f>IF(P_DIS!C245="","",P_DIS!C245)</f>
        <v/>
      </c>
      <c r="C190" s="282" t="str">
        <f>IF(P_DIS!$T$29="","",P_DIS!$T$29)</f>
        <v/>
      </c>
      <c r="D190" s="281" t="str">
        <f>P_DIS!Q245</f>
        <v>-</v>
      </c>
    </row>
    <row r="191" spans="1:4">
      <c r="A191" s="280">
        <f>P_DIS!B246</f>
        <v>183</v>
      </c>
      <c r="B191" s="281" t="str">
        <f>IF(P_DIS!C246="","",P_DIS!C246)</f>
        <v/>
      </c>
      <c r="C191" s="282" t="str">
        <f>IF(P_DIS!$T$29="","",P_DIS!$T$29)</f>
        <v/>
      </c>
      <c r="D191" s="281" t="str">
        <f>P_DIS!Q246</f>
        <v>-</v>
      </c>
    </row>
    <row r="192" spans="1:4">
      <c r="A192" s="280">
        <f>P_DIS!B247</f>
        <v>184</v>
      </c>
      <c r="B192" s="281" t="str">
        <f>IF(P_DIS!C247="","",P_DIS!C247)</f>
        <v/>
      </c>
      <c r="C192" s="282" t="str">
        <f>IF(P_DIS!$T$29="","",P_DIS!$T$29)</f>
        <v/>
      </c>
      <c r="D192" s="281" t="str">
        <f>P_DIS!Q247</f>
        <v>-</v>
      </c>
    </row>
    <row r="193" spans="1:4">
      <c r="A193" s="280">
        <f>P_DIS!B248</f>
        <v>185</v>
      </c>
      <c r="B193" s="281" t="str">
        <f>IF(P_DIS!C248="","",P_DIS!C248)</f>
        <v/>
      </c>
      <c r="C193" s="282" t="str">
        <f>IF(P_DIS!$T$29="","",P_DIS!$T$29)</f>
        <v/>
      </c>
      <c r="D193" s="281" t="str">
        <f>P_DIS!Q248</f>
        <v>-</v>
      </c>
    </row>
    <row r="194" spans="1:4">
      <c r="A194" s="280">
        <f>P_DIS!B249</f>
        <v>186</v>
      </c>
      <c r="B194" s="281" t="str">
        <f>IF(P_DIS!C249="","",P_DIS!C249)</f>
        <v/>
      </c>
      <c r="C194" s="282" t="str">
        <f>IF(P_DIS!$T$29="","",P_DIS!$T$29)</f>
        <v/>
      </c>
      <c r="D194" s="281" t="str">
        <f>P_DIS!Q249</f>
        <v>-</v>
      </c>
    </row>
    <row r="195" spans="1:4">
      <c r="A195" s="280">
        <f>P_DIS!B250</f>
        <v>187</v>
      </c>
      <c r="B195" s="281" t="str">
        <f>IF(P_DIS!C250="","",P_DIS!C250)</f>
        <v/>
      </c>
      <c r="C195" s="282" t="str">
        <f>IF(P_DIS!$T$29="","",P_DIS!$T$29)</f>
        <v/>
      </c>
      <c r="D195" s="281" t="str">
        <f>P_DIS!Q250</f>
        <v>-</v>
      </c>
    </row>
    <row r="196" spans="1:4">
      <c r="A196" s="280">
        <f>P_DIS!B251</f>
        <v>188</v>
      </c>
      <c r="B196" s="281" t="str">
        <f>IF(P_DIS!C251="","",P_DIS!C251)</f>
        <v/>
      </c>
      <c r="C196" s="282" t="str">
        <f>IF(P_DIS!$T$29="","",P_DIS!$T$29)</f>
        <v/>
      </c>
      <c r="D196" s="281" t="str">
        <f>P_DIS!Q251</f>
        <v>-</v>
      </c>
    </row>
    <row r="197" spans="1:4">
      <c r="A197" s="280">
        <f>P_DIS!B252</f>
        <v>189</v>
      </c>
      <c r="B197" s="281" t="str">
        <f>IF(P_DIS!C252="","",P_DIS!C252)</f>
        <v/>
      </c>
      <c r="C197" s="282" t="str">
        <f>IF(P_DIS!$T$29="","",P_DIS!$T$29)</f>
        <v/>
      </c>
      <c r="D197" s="281" t="str">
        <f>P_DIS!Q252</f>
        <v>-</v>
      </c>
    </row>
    <row r="198" spans="1:4">
      <c r="A198" s="280">
        <f>P_DIS!B253</f>
        <v>190</v>
      </c>
      <c r="B198" s="281" t="str">
        <f>IF(P_DIS!C253="","",P_DIS!C253)</f>
        <v/>
      </c>
      <c r="C198" s="282" t="str">
        <f>IF(P_DIS!$T$29="","",P_DIS!$T$29)</f>
        <v/>
      </c>
      <c r="D198" s="281" t="str">
        <f>P_DIS!Q253</f>
        <v>-</v>
      </c>
    </row>
    <row r="199" spans="1:4">
      <c r="A199" s="280">
        <f>P_DIS!B254</f>
        <v>191</v>
      </c>
      <c r="B199" s="281" t="str">
        <f>IF(P_DIS!C254="","",P_DIS!C254)</f>
        <v/>
      </c>
      <c r="C199" s="282" t="str">
        <f>IF(P_DIS!$T$29="","",P_DIS!$T$29)</f>
        <v/>
      </c>
      <c r="D199" s="281" t="str">
        <f>P_DIS!Q254</f>
        <v>-</v>
      </c>
    </row>
    <row r="200" spans="1:4">
      <c r="A200" s="280">
        <f>P_DIS!B255</f>
        <v>192</v>
      </c>
      <c r="B200" s="281" t="str">
        <f>IF(P_DIS!C255="","",P_DIS!C255)</f>
        <v/>
      </c>
      <c r="C200" s="282" t="str">
        <f>IF(P_DIS!$T$29="","",P_DIS!$T$29)</f>
        <v/>
      </c>
      <c r="D200" s="281" t="str">
        <f>P_DIS!Q255</f>
        <v>-</v>
      </c>
    </row>
    <row r="201" spans="1:4">
      <c r="A201" s="280">
        <f>P_DIS!B256</f>
        <v>193</v>
      </c>
      <c r="B201" s="281" t="str">
        <f>IF(P_DIS!C256="","",P_DIS!C256)</f>
        <v/>
      </c>
      <c r="C201" s="282" t="str">
        <f>IF(P_DIS!$T$29="","",P_DIS!$T$29)</f>
        <v/>
      </c>
      <c r="D201" s="281" t="str">
        <f>P_DIS!Q256</f>
        <v>-</v>
      </c>
    </row>
    <row r="202" spans="1:4">
      <c r="A202" s="280">
        <f>P_DIS!B257</f>
        <v>194</v>
      </c>
      <c r="B202" s="281" t="str">
        <f>IF(P_DIS!C257="","",P_DIS!C257)</f>
        <v/>
      </c>
      <c r="C202" s="282" t="str">
        <f>IF(P_DIS!$T$29="","",P_DIS!$T$29)</f>
        <v/>
      </c>
      <c r="D202" s="281" t="str">
        <f>P_DIS!Q257</f>
        <v>-</v>
      </c>
    </row>
    <row r="203" spans="1:4">
      <c r="A203" s="280">
        <f>P_DIS!B258</f>
        <v>195</v>
      </c>
      <c r="B203" s="281" t="str">
        <f>IF(P_DIS!C258="","",P_DIS!C258)</f>
        <v/>
      </c>
      <c r="C203" s="282" t="str">
        <f>IF(P_DIS!$T$29="","",P_DIS!$T$29)</f>
        <v/>
      </c>
      <c r="D203" s="281" t="str">
        <f>P_DIS!Q258</f>
        <v>-</v>
      </c>
    </row>
    <row r="204" spans="1:4">
      <c r="A204" s="280">
        <f>P_DIS!B259</f>
        <v>196</v>
      </c>
      <c r="B204" s="281" t="str">
        <f>IF(P_DIS!C259="","",P_DIS!C259)</f>
        <v/>
      </c>
      <c r="C204" s="282" t="str">
        <f>IF(P_DIS!$T$29="","",P_DIS!$T$29)</f>
        <v/>
      </c>
      <c r="D204" s="281" t="str">
        <f>P_DIS!Q259</f>
        <v>-</v>
      </c>
    </row>
    <row r="205" spans="1:4">
      <c r="A205" s="280">
        <f>P_DIS!B260</f>
        <v>197</v>
      </c>
      <c r="B205" s="281" t="str">
        <f>IF(P_DIS!C260="","",P_DIS!C260)</f>
        <v/>
      </c>
      <c r="C205" s="282" t="str">
        <f>IF(P_DIS!$T$29="","",P_DIS!$T$29)</f>
        <v/>
      </c>
      <c r="D205" s="281" t="str">
        <f>P_DIS!Q260</f>
        <v>-</v>
      </c>
    </row>
    <row r="206" spans="1:4">
      <c r="A206" s="280">
        <f>P_DIS!B261</f>
        <v>198</v>
      </c>
      <c r="B206" s="281" t="str">
        <f>IF(P_DIS!C261="","",P_DIS!C261)</f>
        <v/>
      </c>
      <c r="C206" s="282" t="str">
        <f>IF(P_DIS!$T$29="","",P_DIS!$T$29)</f>
        <v/>
      </c>
      <c r="D206" s="281" t="str">
        <f>P_DIS!Q261</f>
        <v>-</v>
      </c>
    </row>
    <row r="207" spans="1:4">
      <c r="A207" s="280">
        <f>P_DIS!B262</f>
        <v>199</v>
      </c>
      <c r="B207" s="281" t="str">
        <f>IF(P_DIS!C262="","",P_DIS!C262)</f>
        <v/>
      </c>
      <c r="C207" s="282" t="str">
        <f>IF(P_DIS!$T$29="","",P_DIS!$T$29)</f>
        <v/>
      </c>
      <c r="D207" s="281" t="str">
        <f>P_DIS!Q262</f>
        <v>-</v>
      </c>
    </row>
    <row r="208" spans="1:4">
      <c r="A208" s="280">
        <f>P_DIS!B263</f>
        <v>200</v>
      </c>
      <c r="B208" s="281" t="str">
        <f>IF(P_DIS!C263="","",P_DIS!C263)</f>
        <v/>
      </c>
      <c r="C208" s="282" t="str">
        <f>IF(P_DIS!$T$29="","",P_DIS!$T$29)</f>
        <v/>
      </c>
      <c r="D208" s="281" t="str">
        <f>P_DIS!Q263</f>
        <v>-</v>
      </c>
    </row>
  </sheetData>
  <sheetProtection algorithmName="SHA-512" hashValue="9/ioL3klyj9/nysGkaHzL/p4M8fwSu+Up3qZgDLcvmze2GkVyOK+SHHdpBvoo9PWQ2LfTF5qJpEOlE8BF83/Ug==" saltValue="6hMMPRF7O3Ksd3Q7hTXboA==" spinCount="100000" sheet="1" objects="1" scenarios="1"/>
  <mergeCells count="4">
    <mergeCell ref="C2:F4"/>
    <mergeCell ref="A6:H6"/>
    <mergeCell ref="A1:B4"/>
    <mergeCell ref="C1:F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Datos</vt:lpstr>
      <vt:lpstr>P_DIS</vt:lpstr>
      <vt:lpstr>UEstandar-Uexp</vt:lpstr>
      <vt:lpstr>Resultados</vt:lpstr>
      <vt:lpstr>Datos!Print_Area</vt:lpstr>
      <vt:lpstr>P_DIS!Print_Area</vt:lpstr>
      <vt:lpstr>'UEstandar-Uexp'!Print_Area</vt:lpstr>
    </vt:vector>
  </TitlesOfParts>
  <Company>OPS-CEP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Yani Morales</dc:creator>
  <cp:lastModifiedBy>Ascencio Sosa, Marvin Vladimir</cp:lastModifiedBy>
  <cp:lastPrinted>2025-07-30T21:29:08Z</cp:lastPrinted>
  <dcterms:created xsi:type="dcterms:W3CDTF">2002-12-03T17:18:37Z</dcterms:created>
  <dcterms:modified xsi:type="dcterms:W3CDTF">2026-05-11T12:46:31Z</dcterms:modified>
</cp:coreProperties>
</file>